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  <sheet name="Budget" sheetId="2" state="visible" r:id="rId4"/>
    <sheet name="Courses" sheetId="3" state="visible" r:id="rId5"/>
    <sheet name="Nutrition" sheetId="4" state="visible" r:id="rId6"/>
    <sheet name="Détail" sheetId="5" state="visible" r:id="rId7"/>
    <sheet name="Valeurs" sheetId="6" state="visible" r:id="rId8"/>
  </sheets>
  <definedNames>
    <definedName function="false" hidden="true" localSheetId="4" name="_xlnm._FilterDatabase" vbProcedure="false">Détail!$A$1:$J$929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<sst xmlns="http://schemas.openxmlformats.org/spreadsheetml/2006/main" count="6156" uniqueCount="272">
  <si>
    <t xml:space="preserve">Menu du 1er au 21 octobre 2026 — Nicolas et Aurélie</t>
  </si>
  <si>
    <t xml:space="preserve">Une ligne par aliment. Poids crus (viandes, poissons, légumes, pommes de terre) ou secs (riz, pâtes) ; lentilles égouttées ; huile = cuisson + assaisonnement. Les quantités en bleu se modifient ici : Nutrition, Courses, listes individuelles et Budget se recalculent.</t>
  </si>
  <si>
    <t xml:space="preserve">Légende : orange = repas plaisir · bleu = repas poisson · case vide = aliment non prévu pour cette personne</t>
  </si>
  <si>
    <t xml:space="preserve">Repas</t>
  </si>
  <si>
    <t xml:space="preserve">Plat</t>
  </si>
  <si>
    <t xml:space="preserve">Aliment</t>
  </si>
  <si>
    <t xml:space="preserve">Nicolas</t>
  </si>
  <si>
    <t xml:space="preserve">Aurélie</t>
  </si>
  <si>
    <t xml:space="preserve">Unité</t>
  </si>
  <si>
    <t xml:space="preserve">Jeudi 1 octobre — course 1 (du 1er au 5)</t>
  </si>
  <si>
    <t xml:space="preserve">Petit-déjeuner</t>
  </si>
  <si>
    <t xml:space="preserve">Smoothie + œuf (Nicolas) / œufs, jambon, pain, pomme (Aurélie)</t>
  </si>
  <si>
    <t xml:space="preserve">Lait</t>
  </si>
  <si>
    <t xml:space="preserve">ml</t>
  </si>
  <si>
    <t xml:space="preserve">Bananes</t>
  </si>
  <si>
    <t xml:space="preserve">g</t>
  </si>
  <si>
    <t xml:space="preserve">Flocons d'avoine</t>
  </si>
  <si>
    <t xml:space="preserve">Œufs</t>
  </si>
  <si>
    <t xml:space="preserve">unité(s)</t>
  </si>
  <si>
    <t xml:space="preserve">Jambon</t>
  </si>
  <si>
    <t xml:space="preserve">Tomates</t>
  </si>
  <si>
    <t xml:space="preserve">Pain complet</t>
  </si>
  <si>
    <t xml:space="preserve">Pommes</t>
  </si>
  <si>
    <t xml:space="preserve">Déjeuner</t>
  </si>
  <si>
    <t xml:space="preserve">Poulet rôti, pommes de terre, haricots verts</t>
  </si>
  <si>
    <t xml:space="preserve">Poulet</t>
  </si>
  <si>
    <t xml:space="preserve">Pommes de terre</t>
  </si>
  <si>
    <t xml:space="preserve">Haricots verts</t>
  </si>
  <si>
    <t xml:space="preserve">Huile</t>
  </si>
  <si>
    <t xml:space="preserve">Dîner</t>
  </si>
  <si>
    <t xml:space="preserve">Poisson blanc, patate douce, poêlée courgettes-poivrons</t>
  </si>
  <si>
    <t xml:space="preserve">Poisson blanc</t>
  </si>
  <si>
    <t xml:space="preserve">Patates douces</t>
  </si>
  <si>
    <t xml:space="preserve">Courgettes</t>
  </si>
  <si>
    <t xml:space="preserve">Poivrons</t>
  </si>
  <si>
    <t xml:space="preserve">Oignons</t>
  </si>
  <si>
    <t xml:space="preserve">Dessert</t>
  </si>
  <si>
    <t xml:space="preserve">Yaourt + chocolat</t>
  </si>
  <si>
    <t xml:space="preserve">Yaourt nature</t>
  </si>
  <si>
    <t xml:space="preserve">Chocolat noir</t>
  </si>
  <si>
    <t xml:space="preserve">Vendredi 2 octobre</t>
  </si>
  <si>
    <t xml:space="preserve">Carry poulet-lentilles, riz, carottes râpées</t>
  </si>
  <si>
    <t xml:space="preserve">Lentilles (égouttées)</t>
  </si>
  <si>
    <t xml:space="preserve">Riz (sec)</t>
  </si>
  <si>
    <t xml:space="preserve">Carottes</t>
  </si>
  <si>
    <t xml:space="preserve">Omelette paysanne (pommes de terre, courgettes) + salade-tomate</t>
  </si>
  <si>
    <t xml:space="preserve">Salade</t>
  </si>
  <si>
    <t xml:space="preserve">Ananas</t>
  </si>
  <si>
    <t xml:space="preserve">Samedi 3 octobre</t>
  </si>
  <si>
    <t xml:space="preserve">Salade tiède lentilles, œufs durs, pommes de terre, tomates</t>
  </si>
  <si>
    <t xml:space="preserve">Bœuf sauté asiatique, riz, poivrons-carottes</t>
  </si>
  <si>
    <t xml:space="preserve">Bœuf</t>
  </si>
  <si>
    <t xml:space="preserve">Dimanche 4 octobre — repas plaisir</t>
  </si>
  <si>
    <t xml:space="preserve">Burger maison, potatoes au four, crudités</t>
  </si>
  <si>
    <t xml:space="preserve">Pains burger</t>
  </si>
  <si>
    <t xml:space="preserve">Cheddar</t>
  </si>
  <si>
    <t xml:space="preserve">Salade poulet, avocat, tomate, maïs</t>
  </si>
  <si>
    <t xml:space="preserve">Avocat (chair)</t>
  </si>
  <si>
    <t xml:space="preserve">Maïs</t>
  </si>
  <si>
    <t xml:space="preserve">Glace</t>
  </si>
  <si>
    <t xml:space="preserve">Lundi 5 octobre</t>
  </si>
  <si>
    <t xml:space="preserve">Poulet citronné, patate douce, haricots verts</t>
  </si>
  <si>
    <t xml:space="preserve">Salade poulet froid, avocat, carottes râpées, pommes de terre</t>
  </si>
  <si>
    <t xml:space="preserve">Mardi 6 octobre — grosses courses (du 6 au 21)</t>
  </si>
  <si>
    <t xml:space="preserve">Poulet basquaise (poivrons, tomates), riz</t>
  </si>
  <si>
    <t xml:space="preserve">Pâtes poulet-champignons-courgettes</t>
  </si>
  <si>
    <t xml:space="preserve">Pâtes (sèches)</t>
  </si>
  <si>
    <t xml:space="preserve">Champignons</t>
  </si>
  <si>
    <t xml:space="preserve">Chocolat</t>
  </si>
  <si>
    <t xml:space="preserve">Mercredi 7 octobre</t>
  </si>
  <si>
    <t xml:space="preserve">Poisson blanc au citron, patate douce, haricots verts</t>
  </si>
  <si>
    <t xml:space="preserve">Poulet ratatouille, pommes de terre</t>
  </si>
  <si>
    <t xml:space="preserve">Aubergines</t>
  </si>
  <si>
    <t xml:space="preserve">Mangue</t>
  </si>
  <si>
    <t xml:space="preserve">Jeudi 8 octobre</t>
  </si>
  <si>
    <t xml:space="preserve">Poulet rôti, pommes de terre, salade-tomate</t>
  </si>
  <si>
    <t xml:space="preserve">Poisson en papillote, carottes-champignons, pommes de terre</t>
  </si>
  <si>
    <t xml:space="preserve">Vendredi 9 octobre</t>
  </si>
  <si>
    <t xml:space="preserve">Rougail poulet-lentilles, riz, haricots verts</t>
  </si>
  <si>
    <t xml:space="preserve">Quiche légère lardons-courgettes (pâte maison) + salade-tomate</t>
  </si>
  <si>
    <t xml:space="preserve">Lardons</t>
  </si>
  <si>
    <t xml:space="preserve">Farine</t>
  </si>
  <si>
    <t xml:space="preserve">Samedi 10 octobre</t>
  </si>
  <si>
    <t xml:space="preserve">Lasagnes bœuf-courgettes + salade</t>
  </si>
  <si>
    <t xml:space="preserve">Pâtes à lasagnes (sèches)</t>
  </si>
  <si>
    <t xml:space="preserve">Mozzarella râpée</t>
  </si>
  <si>
    <t xml:space="preserve">Salade lentilles, œufs durs, carottes, pommes de terre</t>
  </si>
  <si>
    <t xml:space="preserve">Dimanche 11 octobre — repas plaisir</t>
  </si>
  <si>
    <t xml:space="preserve">Pizza maison bœuf, poivrons, champignons + salade</t>
  </si>
  <si>
    <t xml:space="preserve">Lundi 12 octobre</t>
  </si>
  <si>
    <t xml:space="preserve">Poulet barbecue, patate douce, salade-avocat</t>
  </si>
  <si>
    <t xml:space="preserve">Lasagnes (restes du samedi) + salade</t>
  </si>
  <si>
    <t xml:space="preserve">Mardi 13 octobre</t>
  </si>
  <si>
    <t xml:space="preserve">Curry poulet-courgettes, riz</t>
  </si>
  <si>
    <t xml:space="preserve">Fajitas poulet (wraps, poivrons, cheddar)</t>
  </si>
  <si>
    <t xml:space="preserve">Wraps</t>
  </si>
  <si>
    <t xml:space="preserve">Mercredi 14 octobre</t>
  </si>
  <si>
    <t xml:space="preserve">Poisson créole, riz, haricots verts</t>
  </si>
  <si>
    <t xml:space="preserve">Pâtes poulet, tomate, courgettes</t>
  </si>
  <si>
    <t xml:space="preserve">Jeudi 15 octobre</t>
  </si>
  <si>
    <t xml:space="preserve">Bœuf sauté asiatique, riz, légumes</t>
  </si>
  <si>
    <t xml:space="preserve">Vendredi 16 octobre</t>
  </si>
  <si>
    <t xml:space="preserve">Carbonara légère (lardons, jambon, œuf, champignons, courgettes)</t>
  </si>
  <si>
    <t xml:space="preserve">Samedi 17 octobre</t>
  </si>
  <si>
    <t xml:space="preserve">Salade lentilles, œufs durs, tomates, pommes de terre</t>
  </si>
  <si>
    <t xml:space="preserve">Tacos bœuf (wraps, tomate, avocat, cheddar)</t>
  </si>
  <si>
    <t xml:space="preserve">Dimanche 18 octobre — repas plaisir</t>
  </si>
  <si>
    <t xml:space="preserve">Barbecue bœuf-poulet, pommes de terre, légumes grillés</t>
  </si>
  <si>
    <t xml:space="preserve">Salade des restes du barbecue (poulet), avocat, pommes de terre</t>
  </si>
  <si>
    <t xml:space="preserve">Lundi 19 octobre</t>
  </si>
  <si>
    <t xml:space="preserve">Poisson grillé, champignons, pommes de terre, tomates</t>
  </si>
  <si>
    <t xml:space="preserve">Mardi 20 octobre</t>
  </si>
  <si>
    <t xml:space="preserve">Poisson blanc, riz, poêlée de courgettes</t>
  </si>
  <si>
    <t xml:space="preserve">Poulet basquaise, pommes de terre</t>
  </si>
  <si>
    <t xml:space="preserve">Mercredi 21 octobre</t>
  </si>
  <si>
    <t xml:space="preserve">Omelette aux légumes, pommes de terre, salade</t>
  </si>
  <si>
    <t xml:space="preserve">Poisson blanc, patate douce, haricots verts</t>
  </si>
  <si>
    <t xml:space="preserve">Budget individuel du 1er au 21 octobre</t>
  </si>
  <si>
    <t xml:space="preserve">Chacun paie ce qu'il consomme au prix du gramme, du ml ou de l'unité. Les restes (paquets entamés, surgelés) repartent en stock sur le cycle suivant. Nicolas + Aurélie + reste en stock = dépense totale.</t>
  </si>
  <si>
    <t xml:space="preserve">Reste en stock (reporté)</t>
  </si>
  <si>
    <t xml:space="preserve">Total</t>
  </si>
  <si>
    <t xml:space="preserve">Coût sur 21 jours (€)</t>
  </si>
  <si>
    <t xml:space="preserve">Part du total</t>
  </si>
  <si>
    <t xml:space="preserve">Par jour (€)</t>
  </si>
  <si>
    <t xml:space="preserve">Par repas (€, 3 repas/jour)</t>
  </si>
  <si>
    <t xml:space="preserve">Contrôle (doit faire 0)</t>
  </si>
  <si>
    <t xml:space="preserve">Par course</t>
  </si>
  <si>
    <t xml:space="preserve">Consommation Nicolas</t>
  </si>
  <si>
    <t xml:space="preserve">Consommation Aurélie</t>
  </si>
  <si>
    <t xml:space="preserve">Dépense en magasin</t>
  </si>
  <si>
    <t xml:space="preserve">Course 1 — 01/10 (du 1er au 5)</t>
  </si>
  <si>
    <t xml:space="preserve">Course 2 — 06/10 (du 6 au 21)</t>
  </si>
  <si>
    <t xml:space="preserve">Course 1 : au plus juste pour 5 jours. Les conditionnements entamés (paquet de poulet, riz, avoine…) passent sur la course 2, ce qui explique une dépense de course 1 supérieure à la consommation des 5 jours.</t>
  </si>
  <si>
    <t xml:space="preserve">Liste de courses — Nicolas et Aurélie (1er au 21 octobre)</t>
  </si>
  <si>
    <t xml:space="preserve">Course 1 le 01/10 : uniquement ce qu'il faut du 1er au 5 inclus. Course 2 le 06/10 : tout ce qu'il faut du 6 au 21, restes de la course 1 déduits. Une ligne par produit, besoins de Nicolas et d'Aurélie séparés. À acheter = nombre de conditionnements, ou grammes si vrac. Jaune = modifiable. Case vide = rien à acheter ou pas de besoin.</t>
  </si>
  <si>
    <t xml:space="preserve">Produit</t>
  </si>
  <si>
    <t xml:space="preserve">Course 1 — jeudi 01/10 (du 1er au 5)</t>
  </si>
  <si>
    <t xml:space="preserve">Course 2 — mardi 06/10 (du 6 au 21)</t>
  </si>
  <si>
    <t xml:space="preserve">Total 21 jours</t>
  </si>
  <si>
    <t xml:space="preserve">Calculs</t>
  </si>
  <si>
    <t xml:space="preserve">Catégorie</t>
  </si>
  <si>
    <t xml:space="preserve">Achat par</t>
  </si>
  <si>
    <t xml:space="preserve">Conditionnement</t>
  </si>
  <si>
    <t xml:space="preserve">Vrac (1 = oui)</t>
  </si>
  <si>
    <t xml:space="preserve">Rendement</t>
  </si>
  <si>
    <t xml:space="preserve">Prix (€ par achat, ou €/kg si vrac)</t>
  </si>
  <si>
    <t xml:space="preserve">Stock déjà là</t>
  </si>
  <si>
    <t xml:space="preserve">Besoin Nicolas</t>
  </si>
  <si>
    <t xml:space="preserve">Besoin Aurélie</t>
  </si>
  <si>
    <t xml:space="preserve">À acheter</t>
  </si>
  <si>
    <t xml:space="preserve">Dépense (€)</t>
  </si>
  <si>
    <t xml:space="preserve">Coût Nicolas (€)</t>
  </si>
  <si>
    <t xml:space="preserve">Coût Aurélie (€)</t>
  </si>
  <si>
    <t xml:space="preserve">Reste après le 21</t>
  </si>
  <si>
    <t xml:space="preserve">Valeur du reste (€)</t>
  </si>
  <si>
    <t xml:space="preserve">Conservation / commentaire</t>
  </si>
  <si>
    <t xml:space="preserve">Prix par g, ml ou unité (€)</t>
  </si>
  <si>
    <t xml:space="preserve">Reste après la course 1</t>
  </si>
  <si>
    <t xml:space="preserve">Viande</t>
  </si>
  <si>
    <t xml:space="preserve">paquet 1 kg</t>
  </si>
  <si>
    <t xml:space="preserve">Congeler en portions d'un repas le jour de l'achat.</t>
  </si>
  <si>
    <t xml:space="preserve">paquet 900 g</t>
  </si>
  <si>
    <t xml:space="preserve">Congeler en portions.</t>
  </si>
  <si>
    <t xml:space="preserve">paquet 200 g</t>
  </si>
  <si>
    <t xml:space="preserve">Longue DLC sous vide, se congèle.</t>
  </si>
  <si>
    <t xml:space="preserve">paquet 500 g (hypothèse)</t>
  </si>
  <si>
    <t xml:space="preserve">2 à 3 jours une fois ouvert : préférer plusieurs petits paquets.</t>
  </si>
  <si>
    <t xml:space="preserve">Poisson</t>
  </si>
  <si>
    <t xml:space="preserve">sachet 1 kg surgelé</t>
  </si>
  <si>
    <t xml:space="preserve">Surgelé.</t>
  </si>
  <si>
    <t xml:space="preserve">Œufs et laitages</t>
  </si>
  <si>
    <t xml:space="preserve">unité</t>
  </si>
  <si>
    <t xml:space="preserve">boîte de 12</t>
  </si>
  <si>
    <t xml:space="preserve">Vérifier une date au-delà du 21/10.</t>
  </si>
  <si>
    <t xml:space="preserve">brique 1 L</t>
  </si>
  <si>
    <t xml:space="preserve">UHT : se garde des mois fermé.</t>
  </si>
  <si>
    <t xml:space="preserve">pot 500 g</t>
  </si>
  <si>
    <t xml:space="preserve">sachet 150 g</t>
  </si>
  <si>
    <t xml:space="preserve">Se congèle.</t>
  </si>
  <si>
    <t xml:space="preserve">vrac (g)</t>
  </si>
  <si>
    <t xml:space="preserve">Féculents</t>
  </si>
  <si>
    <t xml:space="preserve">paquet 500 g</t>
  </si>
  <si>
    <t xml:space="preserve">Au sec, à l'ombre, loin des oignons : germent vite à la chaleur.</t>
  </si>
  <si>
    <t xml:space="preserve">Hors frigo, 1 à 2 semaines.</t>
  </si>
  <si>
    <t xml:space="preserve">paquet de 8</t>
  </si>
  <si>
    <t xml:space="preserve">Longue conservation fermés.</t>
  </si>
  <si>
    <t xml:space="preserve">Pain</t>
  </si>
  <si>
    <t xml:space="preserve">paquet de 2</t>
  </si>
  <si>
    <t xml:space="preserve">Pour le 4 octobre.</t>
  </si>
  <si>
    <t xml:space="preserve">pièce ~100 g (hypothèse)</t>
  </si>
  <si>
    <t xml:space="preserve">Congeler en tranches, sortir la veille.</t>
  </si>
  <si>
    <t xml:space="preserve">Légumes</t>
  </si>
  <si>
    <t xml:space="preserve">sachet 440 g surgelé</t>
  </si>
  <si>
    <t xml:space="preserve">Surgelés.</t>
  </si>
  <si>
    <t xml:space="preserve">2 à 3 semaines au bac à légumes.</t>
  </si>
  <si>
    <t xml:space="preserve">Plusieurs semaines au sec.</t>
  </si>
  <si>
    <t xml:space="preserve">boîte (~140 g égouttés)</t>
  </si>
  <si>
    <t xml:space="preserve">Conserve.</t>
  </si>
  <si>
    <t xml:space="preserve">Risque sur 16 jours : en prendre une partie peu mûre ; pour les plats cuits de fin de période, la conserve fait l'affaire.</t>
  </si>
  <si>
    <t xml:space="preserve">Risque sur 16 jours (~1 semaine au frigo) : congeler crues en rondelles celles des plats cuits de la 2e semaine.</t>
  </si>
  <si>
    <t xml:space="preserve">13,98 €/kg. 1 à 2 semaines au frigo, se congèlent crus en lanières.</t>
  </si>
  <si>
    <t xml:space="preserve">Celles du barbecue du 18 risquent de ne pas tenir : prendre les plus fermes.</t>
  </si>
  <si>
    <t xml:space="preserve">barquette 250 g (hypothèse)</t>
  </si>
  <si>
    <t xml:space="preserve">Risque : 3 à 5 jours. Pour les repas après le 11, champignons en conserve ou surgelés.</t>
  </si>
  <si>
    <t xml:space="preserve">pièce ~300 g utiles</t>
  </si>
  <si>
    <t xml:space="preserve">Risque : 4 à 7 jours. En fin de période, remplacer par des carottes râpées.</t>
  </si>
  <si>
    <t xml:space="preserve">Fruits</t>
  </si>
  <si>
    <t xml:space="preserve">3 à 4 semaines au frigo.</t>
  </si>
  <si>
    <t xml:space="preserve">Risque sur 16 jours : acheter vertes, congeler en rondelles les mûres (parfait pour le smoothie).</t>
  </si>
  <si>
    <t xml:space="preserve">avocat ~350 g de chair (hypothèse)</t>
  </si>
  <si>
    <t xml:space="preserve">Choisir 3 stades de maturité : un mûr pour le 11-12, deux fermes pour le 17-18.</t>
  </si>
  <si>
    <t xml:space="preserve">vrac (g, rendement 70 %)</t>
  </si>
  <si>
    <t xml:space="preserve">Celle du 14 : la prendre ferme.</t>
  </si>
  <si>
    <t xml:space="preserve">pièce ~400 g de chair (hypothèse)</t>
  </si>
  <si>
    <t xml:space="preserve">Mangés les 9 et 10 : pas de souci.</t>
  </si>
  <si>
    <t xml:space="preserve">Desserts</t>
  </si>
  <si>
    <t xml:space="preserve">bac 500 g</t>
  </si>
  <si>
    <t xml:space="preserve">Congélateur.</t>
  </si>
  <si>
    <t xml:space="preserve">500 g</t>
  </si>
  <si>
    <t xml:space="preserve">Épicerie</t>
  </si>
  <si>
    <t xml:space="preserve">Café</t>
  </si>
  <si>
    <t xml:space="preserve">Hors menu : 100 % Nicolas (modifiable).</t>
  </si>
  <si>
    <t xml:space="preserve">Eau (bouteilles 5 L)</t>
  </si>
  <si>
    <t xml:space="preserve">L</t>
  </si>
  <si>
    <t xml:space="preserve">bouteille 5 L</t>
  </si>
  <si>
    <t xml:space="preserve">Hors menu : moitié chacun (modifiable).</t>
  </si>
  <si>
    <t xml:space="preserve">Citrons</t>
  </si>
  <si>
    <t xml:space="preserve">pièce</t>
  </si>
  <si>
    <t xml:space="preserve">Prix à saisir. Poulet citronné, poisson.</t>
  </si>
  <si>
    <t xml:space="preserve">Sauce soja</t>
  </si>
  <si>
    <t xml:space="preserve">flacon</t>
  </si>
  <si>
    <t xml:space="preserve">Prix à saisir. Partagé 50/50.</t>
  </si>
  <si>
    <t xml:space="preserve">Concentré de tomate</t>
  </si>
  <si>
    <t xml:space="preserve">tube ou boîte</t>
  </si>
  <si>
    <t xml:space="preserve">Moutarde / ketchup</t>
  </si>
  <si>
    <t xml:space="preserve">Prix à saisir. Burger du 4.</t>
  </si>
  <si>
    <t xml:space="preserve">Ail, gingembre, curcuma</t>
  </si>
  <si>
    <t xml:space="preserve">si pas en stock</t>
  </si>
  <si>
    <t xml:space="preserve">Levure boulangère</t>
  </si>
  <si>
    <t xml:space="preserve">sachet</t>
  </si>
  <si>
    <t xml:space="preserve">Prix à saisir. Pizza du 11.</t>
  </si>
  <si>
    <t xml:space="preserve">Déjà en stock</t>
  </si>
  <si>
    <t xml:space="preserve">3 boîtes de 530 g</t>
  </si>
  <si>
    <t xml:space="preserve">Ton stock, utilisé en entier.</t>
  </si>
  <si>
    <t xml:space="preserve">stock</t>
  </si>
  <si>
    <t xml:space="preserve">Vérifie qu'il en reste ~700 g.</t>
  </si>
  <si>
    <t xml:space="preserve">Pizza, quiche, béchamel.</t>
  </si>
  <si>
    <t xml:space="preserve">Dépense en magasin (€)</t>
  </si>
  <si>
    <t xml:space="preserve">Consommation — Nicolas (€)</t>
  </si>
  <si>
    <t xml:space="preserve">Consommation — Aurélie (€)</t>
  </si>
  <si>
    <t xml:space="preserve">Dépense totale sur 21 jours (€)</t>
  </si>
  <si>
    <t xml:space="preserve">Apports estimés par jour</t>
  </si>
  <si>
    <t xml:space="preserve">Repères : Nicolas 1 850-1 950 kcal et 110 g de protéines ou plus ; Aurélie 1 350-1 450 kcal et 85 g ou plus (Mifflin-St Jeor, activité légère, déficit ~500 kcal). Estimations, pas des prescriptions.</t>
  </si>
  <si>
    <t xml:space="preserve">Date</t>
  </si>
  <si>
    <t xml:space="preserve">Nicolas kcal</t>
  </si>
  <si>
    <t xml:space="preserve">Nicolas protéines (g)</t>
  </si>
  <si>
    <t xml:space="preserve">Aurélie kcal</t>
  </si>
  <si>
    <t xml:space="preserve">Aurélie protéines (g)</t>
  </si>
  <si>
    <t xml:space="preserve">Moyenne semaine 1 (1-7)</t>
  </si>
  <si>
    <t xml:space="preserve">Moyenne semaine 2 (8-14)</t>
  </si>
  <si>
    <t xml:space="preserve">Moyenne semaine 3 (15-21)</t>
  </si>
  <si>
    <t xml:space="preserve">Moyenne 21 jours</t>
  </si>
  <si>
    <t xml:space="preserve">Personne</t>
  </si>
  <si>
    <t xml:space="preserve">Quantité</t>
  </si>
  <si>
    <t xml:space="preserve">kcal</t>
  </si>
  <si>
    <t xml:space="preserve">Protéines (g)</t>
  </si>
  <si>
    <t xml:space="preserve">Course</t>
  </si>
  <si>
    <t xml:space="preserve">Onglet de calcul : les quantités viennent du Menu (vert = lien). Modifie les quantités dans le Menu, pas ici.</t>
  </si>
  <si>
    <t xml:space="preserve">Base</t>
  </si>
  <si>
    <t xml:space="preserve">kcal par base</t>
  </si>
  <si>
    <t xml:space="preserve">Protéines (g) par base</t>
  </si>
  <si>
    <t xml:space="preserve">Valeurs moyennes arrondies (ordre de grandeur des tables de composition type Ciqual/Anses). Viandes, poissons, féculents : poids crus ou secs ; lentilles : égouttées ; œufs, wraps, pains burger : par unité (œuf ≈ 60 g, wrap ≈ 60 g, pain burger ≈ 75 g). Les chiffres en bleu sont modifiables.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</si>
</sst>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;\-0;&quot;&quot;"/>
    <numFmt numFmtId="166" formatCode="#,##0.00&quot; €&quot;"/>
    <numFmt numFmtId="167" formatCode="0.0%"/>
    <numFmt numFmtId="168" formatCode="#,##0;\-#,##0;&quot;&quot;"/>
    <numFmt numFmtId="169" formatCode="0%"/>
    <numFmt numFmtId="170" formatCode="#,##0.00&quot; €&quot;;\-#,##0.00&quot; €&quot;;&quot;&quot;"/>
    <numFmt numFmtId="171" formatCode="0.0000&quot; €&quot;"/>
    <numFmt numFmtId="172" formatCode="ddd\ dd/mm"/>
    <numFmt numFmtId="173" formatCode="#,##0"/>
    <numFmt numFmtId="174" formatCode="0"/>
    <numFmt numFmtId="175" formatCode="dd/mm/yyyy"/>
    <numFmt numFmtId="176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2F4F4F"/>
        <bgColor rgb="FF595959"/>
      </patternFill>
    </fill>
    <fill>
      <patternFill patternType="solid">
        <fgColor rgb="FF5B7F7A"/>
        <bgColor rgb="FF4F7A6F"/>
      </patternFill>
    </fill>
    <fill>
      <patternFill patternType="solid">
        <fgColor rgb="FFFFFFFF"/>
        <bgColor rgb="FFF7F9F8"/>
      </patternFill>
    </fill>
    <fill>
      <patternFill patternType="solid">
        <fgColor rgb="FFF7F9F8"/>
        <bgColor rgb="FFF2F2F2"/>
      </patternFill>
    </fill>
    <fill>
      <patternFill patternType="solid">
        <fgColor rgb="FFDDEBF7"/>
        <bgColor rgb="FFE8EEF6"/>
      </patternFill>
    </fill>
    <fill>
      <patternFill patternType="solid">
        <fgColor rgb="FFF2F2F2"/>
        <bgColor rgb="FFEAF1EF"/>
      </patternFill>
    </fill>
    <fill>
      <patternFill patternType="solid">
        <fgColor rgb="FFFCE4D6"/>
        <bgColor rgb="FFFFF2CC"/>
      </patternFill>
    </fill>
    <fill>
      <patternFill patternType="solid">
        <fgColor rgb="FF4F7A6F"/>
        <bgColor rgb="FF5B7F7A"/>
      </patternFill>
    </fill>
    <fill>
      <patternFill patternType="solid">
        <fgColor rgb="FF5E7FA6"/>
        <bgColor rgb="FF5B7F7A"/>
      </patternFill>
    </fill>
    <fill>
      <patternFill patternType="solid">
        <fgColor rgb="FF7F6A3F"/>
        <bgColor rgb="FF595959"/>
      </patternFill>
    </fill>
    <fill>
      <patternFill patternType="solid">
        <fgColor rgb="FF808080"/>
        <bgColor rgb="FF5B7F7A"/>
      </patternFill>
    </fill>
    <fill>
      <patternFill patternType="solid">
        <fgColor rgb="FFFFF2CC"/>
        <bgColor rgb="FFFCE4D6"/>
      </patternFill>
    </fill>
    <fill>
      <patternFill patternType="solid">
        <fgColor rgb="FFEAF1EF"/>
        <bgColor rgb="FFE8EEF6"/>
      </patternFill>
    </fill>
    <fill>
      <patternFill patternType="solid">
        <fgColor rgb="FFD5E3DF"/>
        <bgColor rgb="FFD1DDEC"/>
      </patternFill>
    </fill>
    <fill>
      <patternFill patternType="solid">
        <fgColor rgb="FFE8EEF6"/>
        <bgColor rgb="FFEAF1EF"/>
      </patternFill>
    </fill>
    <fill>
      <patternFill patternType="solid">
        <fgColor rgb="FFD1DDEC"/>
        <bgColor rgb="FFD5E3D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4F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A3F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1DD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EF"/>
      <rgbColor rgb="FFD5E3DF"/>
      <rgbColor rgb="FFF2F2F2"/>
      <rgbColor rgb="FFE8EEF6"/>
      <rgbColor rgb="FFF7F9F8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E7FA6"/>
      <rgbColor rgb="FF5B7F7A"/>
      <rgbColor rgb="FF003366"/>
      <rgbColor rgb="FF4F7A6F"/>
      <rgbColor rgb="FF003300"/>
      <rgbColor rgb="FF333300"/>
      <rgbColor rgb="FF993300"/>
      <rgbColor rgb="FF993366"/>
      <rgbColor rgb="FF59595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5" min="4" style="0" width="10"/>
    <col collapsed="false" customWidth="true" hidden="false" outlineLevel="0" max="6" min="6" style="0" width="9"/>
  </cols>
  <sheetData>
    <row r="1" customFormat="false" ht="17.3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9.5" hidden="false" customHeight="true" outlineLevel="0" collapsed="false">
      <c r="A6" s="5" t="s">
        <v>9</v>
      </c>
      <c r="B6" s="5"/>
      <c r="C6" s="5"/>
      <c r="D6" s="5"/>
      <c r="E6" s="5"/>
      <c r="F6" s="5"/>
    </row>
    <row r="7" customFormat="false" ht="15" hidden="false" customHeight="true" outlineLevel="0" collapsed="false">
      <c r="A7" s="6" t="s">
        <v>10</v>
      </c>
      <c r="B7" s="7" t="s">
        <v>11</v>
      </c>
      <c r="C7" s="8" t="s">
        <v>12</v>
      </c>
      <c r="D7" s="9" t="n">
        <v>250</v>
      </c>
      <c r="E7" s="9"/>
      <c r="F7" s="8" t="s">
        <v>13</v>
      </c>
    </row>
    <row r="8" customFormat="false" ht="15" hidden="false" customHeight="false" outlineLevel="0" collapsed="false">
      <c r="A8" s="6"/>
      <c r="B8" s="6"/>
      <c r="C8" s="8" t="s">
        <v>14</v>
      </c>
      <c r="D8" s="9" t="n">
        <v>100</v>
      </c>
      <c r="E8" s="9"/>
      <c r="F8" s="8" t="s">
        <v>15</v>
      </c>
    </row>
    <row r="9" customFormat="false" ht="15" hidden="false" customHeight="false" outlineLevel="0" collapsed="false">
      <c r="A9" s="6"/>
      <c r="B9" s="6"/>
      <c r="C9" s="8" t="s">
        <v>16</v>
      </c>
      <c r="D9" s="9" t="n">
        <v>65</v>
      </c>
      <c r="E9" s="9"/>
      <c r="F9" s="8" t="s">
        <v>15</v>
      </c>
    </row>
    <row r="10" customFormat="false" ht="15" hidden="false" customHeight="false" outlineLevel="0" collapsed="false">
      <c r="A10" s="6"/>
      <c r="B10" s="6"/>
      <c r="C10" s="8" t="s">
        <v>17</v>
      </c>
      <c r="D10" s="9" t="n">
        <v>1</v>
      </c>
      <c r="E10" s="9" t="n">
        <v>2</v>
      </c>
      <c r="F10" s="8" t="s">
        <v>18</v>
      </c>
    </row>
    <row r="11" customFormat="false" ht="15" hidden="false" customHeight="false" outlineLevel="0" collapsed="false">
      <c r="A11" s="6"/>
      <c r="B11" s="6"/>
      <c r="C11" s="8" t="s">
        <v>19</v>
      </c>
      <c r="D11" s="9"/>
      <c r="E11" s="9" t="n">
        <v>30</v>
      </c>
      <c r="F11" s="8" t="s">
        <v>15</v>
      </c>
    </row>
    <row r="12" customFormat="false" ht="15" hidden="false" customHeight="false" outlineLevel="0" collapsed="false">
      <c r="A12" s="6"/>
      <c r="B12" s="6"/>
      <c r="C12" s="8" t="s">
        <v>20</v>
      </c>
      <c r="D12" s="9"/>
      <c r="E12" s="9" t="n">
        <v>80</v>
      </c>
      <c r="F12" s="8" t="s">
        <v>15</v>
      </c>
    </row>
    <row r="13" customFormat="false" ht="15" hidden="false" customHeight="false" outlineLevel="0" collapsed="false">
      <c r="A13" s="6"/>
      <c r="B13" s="6"/>
      <c r="C13" s="8" t="s">
        <v>21</v>
      </c>
      <c r="D13" s="9"/>
      <c r="E13" s="9" t="n">
        <v>40</v>
      </c>
      <c r="F13" s="8" t="s">
        <v>15</v>
      </c>
    </row>
    <row r="14" customFormat="false" ht="15" hidden="false" customHeight="false" outlineLevel="0" collapsed="false">
      <c r="A14" s="6"/>
      <c r="B14" s="6"/>
      <c r="C14" s="8" t="s">
        <v>22</v>
      </c>
      <c r="D14" s="9"/>
      <c r="E14" s="9" t="n">
        <v>150</v>
      </c>
      <c r="F14" s="8" t="s">
        <v>15</v>
      </c>
    </row>
    <row r="15" customFormat="false" ht="15" hidden="false" customHeight="true" outlineLevel="0" collapsed="false">
      <c r="A15" s="10" t="s">
        <v>23</v>
      </c>
      <c r="B15" s="11" t="s">
        <v>24</v>
      </c>
      <c r="C15" s="12" t="s">
        <v>25</v>
      </c>
      <c r="D15" s="13" t="n">
        <v>150</v>
      </c>
      <c r="E15" s="13" t="n">
        <v>120</v>
      </c>
      <c r="F15" s="12" t="s">
        <v>15</v>
      </c>
    </row>
    <row r="16" customFormat="false" ht="15" hidden="false" customHeight="false" outlineLevel="0" collapsed="false">
      <c r="A16" s="10"/>
      <c r="B16" s="10"/>
      <c r="C16" s="12" t="s">
        <v>26</v>
      </c>
      <c r="D16" s="13" t="n">
        <v>360</v>
      </c>
      <c r="E16" s="13" t="n">
        <v>170</v>
      </c>
      <c r="F16" s="12" t="s">
        <v>15</v>
      </c>
    </row>
    <row r="17" customFormat="false" ht="15" hidden="false" customHeight="false" outlineLevel="0" collapsed="false">
      <c r="A17" s="10"/>
      <c r="B17" s="10"/>
      <c r="C17" s="12" t="s">
        <v>27</v>
      </c>
      <c r="D17" s="13" t="n">
        <v>250</v>
      </c>
      <c r="E17" s="13" t="n">
        <v>280</v>
      </c>
      <c r="F17" s="12" t="s">
        <v>15</v>
      </c>
    </row>
    <row r="18" customFormat="false" ht="15" hidden="false" customHeight="false" outlineLevel="0" collapsed="false">
      <c r="A18" s="10"/>
      <c r="B18" s="10"/>
      <c r="C18" s="12" t="s">
        <v>28</v>
      </c>
      <c r="D18" s="13" t="n">
        <v>10</v>
      </c>
      <c r="E18" s="13" t="n">
        <v>7</v>
      </c>
      <c r="F18" s="12" t="s">
        <v>15</v>
      </c>
    </row>
    <row r="19" customFormat="false" ht="15" hidden="false" customHeight="true" outlineLevel="0" collapsed="false">
      <c r="A19" s="14" t="s">
        <v>29</v>
      </c>
      <c r="B19" s="15" t="s">
        <v>30</v>
      </c>
      <c r="C19" s="16" t="s">
        <v>31</v>
      </c>
      <c r="D19" s="17" t="n">
        <v>150</v>
      </c>
      <c r="E19" s="17" t="n">
        <v>125</v>
      </c>
      <c r="F19" s="16" t="s">
        <v>15</v>
      </c>
    </row>
    <row r="20" customFormat="false" ht="15" hidden="false" customHeight="false" outlineLevel="0" collapsed="false">
      <c r="A20" s="14"/>
      <c r="B20" s="14"/>
      <c r="C20" s="16" t="s">
        <v>32</v>
      </c>
      <c r="D20" s="17" t="n">
        <v>300</v>
      </c>
      <c r="E20" s="17" t="n">
        <v>140</v>
      </c>
      <c r="F20" s="16" t="s">
        <v>15</v>
      </c>
    </row>
    <row r="21" customFormat="false" ht="15" hidden="false" customHeight="false" outlineLevel="0" collapsed="false">
      <c r="A21" s="14"/>
      <c r="B21" s="14"/>
      <c r="C21" s="16" t="s">
        <v>33</v>
      </c>
      <c r="D21" s="17" t="n">
        <v>170</v>
      </c>
      <c r="E21" s="17" t="n">
        <v>200</v>
      </c>
      <c r="F21" s="16" t="s">
        <v>15</v>
      </c>
    </row>
    <row r="22" customFormat="false" ht="15" hidden="false" customHeight="false" outlineLevel="0" collapsed="false">
      <c r="A22" s="14"/>
      <c r="B22" s="14"/>
      <c r="C22" s="16" t="s">
        <v>34</v>
      </c>
      <c r="D22" s="17" t="n">
        <v>50</v>
      </c>
      <c r="E22" s="17" t="n">
        <v>60</v>
      </c>
      <c r="F22" s="16" t="s">
        <v>15</v>
      </c>
    </row>
    <row r="23" customFormat="false" ht="15" hidden="false" customHeight="false" outlineLevel="0" collapsed="false">
      <c r="A23" s="14"/>
      <c r="B23" s="14"/>
      <c r="C23" s="16" t="s">
        <v>35</v>
      </c>
      <c r="D23" s="17" t="n">
        <v>20</v>
      </c>
      <c r="E23" s="17" t="n">
        <v>20</v>
      </c>
      <c r="F23" s="16" t="s">
        <v>15</v>
      </c>
    </row>
    <row r="24" customFormat="false" ht="15" hidden="false" customHeight="false" outlineLevel="0" collapsed="false">
      <c r="A24" s="14"/>
      <c r="B24" s="14"/>
      <c r="C24" s="16" t="s">
        <v>28</v>
      </c>
      <c r="D24" s="17" t="n">
        <v>10</v>
      </c>
      <c r="E24" s="17" t="n">
        <v>7</v>
      </c>
      <c r="F24" s="16" t="s">
        <v>15</v>
      </c>
    </row>
    <row r="25" customFormat="false" ht="15" hidden="false" customHeight="true" outlineLevel="0" collapsed="false">
      <c r="A25" s="18" t="s">
        <v>36</v>
      </c>
      <c r="B25" s="19" t="s">
        <v>37</v>
      </c>
      <c r="C25" s="20" t="s">
        <v>38</v>
      </c>
      <c r="D25" s="21" t="n">
        <v>125</v>
      </c>
      <c r="E25" s="21" t="n">
        <v>125</v>
      </c>
      <c r="F25" s="20" t="s">
        <v>15</v>
      </c>
    </row>
    <row r="26" customFormat="false" ht="15" hidden="false" customHeight="false" outlineLevel="0" collapsed="false">
      <c r="A26" s="18"/>
      <c r="B26" s="18"/>
      <c r="C26" s="20" t="s">
        <v>39</v>
      </c>
      <c r="D26" s="21" t="n">
        <v>10</v>
      </c>
      <c r="E26" s="21" t="n">
        <v>10</v>
      </c>
      <c r="F26" s="20" t="s">
        <v>15</v>
      </c>
    </row>
    <row r="28" customFormat="false" ht="19.5" hidden="false" customHeight="true" outlineLevel="0" collapsed="false">
      <c r="A28" s="5" t="s">
        <v>40</v>
      </c>
      <c r="B28" s="5"/>
      <c r="C28" s="5"/>
      <c r="D28" s="5"/>
      <c r="E28" s="5"/>
      <c r="F28" s="5"/>
    </row>
    <row r="29" customFormat="false" ht="15" hidden="false" customHeight="true" outlineLevel="0" collapsed="false">
      <c r="A29" s="6" t="s">
        <v>10</v>
      </c>
      <c r="B29" s="7" t="s">
        <v>11</v>
      </c>
      <c r="C29" s="8" t="s">
        <v>12</v>
      </c>
      <c r="D29" s="9" t="n">
        <v>250</v>
      </c>
      <c r="E29" s="9"/>
      <c r="F29" s="8" t="s">
        <v>13</v>
      </c>
    </row>
    <row r="30" customFormat="false" ht="15" hidden="false" customHeight="false" outlineLevel="0" collapsed="false">
      <c r="A30" s="6"/>
      <c r="B30" s="6"/>
      <c r="C30" s="8" t="s">
        <v>14</v>
      </c>
      <c r="D30" s="9" t="n">
        <v>100</v>
      </c>
      <c r="E30" s="9"/>
      <c r="F30" s="8" t="s">
        <v>15</v>
      </c>
    </row>
    <row r="31" customFormat="false" ht="15" hidden="false" customHeight="false" outlineLevel="0" collapsed="false">
      <c r="A31" s="6"/>
      <c r="B31" s="6"/>
      <c r="C31" s="8" t="s">
        <v>16</v>
      </c>
      <c r="D31" s="9" t="n">
        <v>65</v>
      </c>
      <c r="E31" s="9"/>
      <c r="F31" s="8" t="s">
        <v>15</v>
      </c>
    </row>
    <row r="32" customFormat="false" ht="15" hidden="false" customHeight="false" outlineLevel="0" collapsed="false">
      <c r="A32" s="6"/>
      <c r="B32" s="6"/>
      <c r="C32" s="8" t="s">
        <v>17</v>
      </c>
      <c r="D32" s="9" t="n">
        <v>1</v>
      </c>
      <c r="E32" s="9" t="n">
        <v>2</v>
      </c>
      <c r="F32" s="8" t="s">
        <v>18</v>
      </c>
    </row>
    <row r="33" customFormat="false" ht="15" hidden="false" customHeight="false" outlineLevel="0" collapsed="false">
      <c r="A33" s="6"/>
      <c r="B33" s="6"/>
      <c r="C33" s="8" t="s">
        <v>19</v>
      </c>
      <c r="D33" s="9"/>
      <c r="E33" s="9" t="n">
        <v>30</v>
      </c>
      <c r="F33" s="8" t="s">
        <v>15</v>
      </c>
    </row>
    <row r="34" customFormat="false" ht="15" hidden="false" customHeight="false" outlineLevel="0" collapsed="false">
      <c r="A34" s="6"/>
      <c r="B34" s="6"/>
      <c r="C34" s="8" t="s">
        <v>20</v>
      </c>
      <c r="D34" s="9"/>
      <c r="E34" s="9" t="n">
        <v>80</v>
      </c>
      <c r="F34" s="8" t="s">
        <v>15</v>
      </c>
    </row>
    <row r="35" customFormat="false" ht="15" hidden="false" customHeight="false" outlineLevel="0" collapsed="false">
      <c r="A35" s="6"/>
      <c r="B35" s="6"/>
      <c r="C35" s="8" t="s">
        <v>21</v>
      </c>
      <c r="D35" s="9"/>
      <c r="E35" s="9" t="n">
        <v>40</v>
      </c>
      <c r="F35" s="8" t="s">
        <v>15</v>
      </c>
    </row>
    <row r="36" customFormat="false" ht="15" hidden="false" customHeight="false" outlineLevel="0" collapsed="false">
      <c r="A36" s="6"/>
      <c r="B36" s="6"/>
      <c r="C36" s="8" t="s">
        <v>22</v>
      </c>
      <c r="D36" s="9"/>
      <c r="E36" s="9" t="n">
        <v>150</v>
      </c>
      <c r="F36" s="8" t="s">
        <v>15</v>
      </c>
    </row>
    <row r="37" customFormat="false" ht="15" hidden="false" customHeight="true" outlineLevel="0" collapsed="false">
      <c r="A37" s="10" t="s">
        <v>23</v>
      </c>
      <c r="B37" s="11" t="s">
        <v>41</v>
      </c>
      <c r="C37" s="12" t="s">
        <v>25</v>
      </c>
      <c r="D37" s="13" t="n">
        <v>100</v>
      </c>
      <c r="E37" s="13" t="n">
        <v>80</v>
      </c>
      <c r="F37" s="12" t="s">
        <v>15</v>
      </c>
    </row>
    <row r="38" customFormat="false" ht="15" hidden="false" customHeight="false" outlineLevel="0" collapsed="false">
      <c r="A38" s="10"/>
      <c r="B38" s="10"/>
      <c r="C38" s="12" t="s">
        <v>42</v>
      </c>
      <c r="D38" s="13" t="n">
        <v>140</v>
      </c>
      <c r="E38" s="13" t="n">
        <v>120</v>
      </c>
      <c r="F38" s="12" t="s">
        <v>15</v>
      </c>
    </row>
    <row r="39" customFormat="false" ht="15" hidden="false" customHeight="false" outlineLevel="0" collapsed="false">
      <c r="A39" s="10"/>
      <c r="B39" s="10"/>
      <c r="C39" s="12" t="s">
        <v>43</v>
      </c>
      <c r="D39" s="13" t="n">
        <v>50</v>
      </c>
      <c r="E39" s="13" t="n">
        <v>20</v>
      </c>
      <c r="F39" s="12" t="s">
        <v>15</v>
      </c>
    </row>
    <row r="40" customFormat="false" ht="15" hidden="false" customHeight="false" outlineLevel="0" collapsed="false">
      <c r="A40" s="10"/>
      <c r="B40" s="10"/>
      <c r="C40" s="12" t="s">
        <v>20</v>
      </c>
      <c r="D40" s="13" t="n">
        <v>120</v>
      </c>
      <c r="E40" s="13" t="n">
        <v>150</v>
      </c>
      <c r="F40" s="12" t="s">
        <v>15</v>
      </c>
    </row>
    <row r="41" customFormat="false" ht="15" hidden="false" customHeight="false" outlineLevel="0" collapsed="false">
      <c r="A41" s="10"/>
      <c r="B41" s="10"/>
      <c r="C41" s="12" t="s">
        <v>35</v>
      </c>
      <c r="D41" s="13" t="n">
        <v>40</v>
      </c>
      <c r="E41" s="13" t="n">
        <v>40</v>
      </c>
      <c r="F41" s="12" t="s">
        <v>15</v>
      </c>
    </row>
    <row r="42" customFormat="false" ht="15" hidden="false" customHeight="false" outlineLevel="0" collapsed="false">
      <c r="A42" s="10"/>
      <c r="B42" s="10"/>
      <c r="C42" s="12" t="s">
        <v>44</v>
      </c>
      <c r="D42" s="13" t="n">
        <v>80</v>
      </c>
      <c r="E42" s="13" t="n">
        <v>100</v>
      </c>
      <c r="F42" s="12" t="s">
        <v>15</v>
      </c>
    </row>
    <row r="43" customFormat="false" ht="15" hidden="false" customHeight="false" outlineLevel="0" collapsed="false">
      <c r="A43" s="10"/>
      <c r="B43" s="10"/>
      <c r="C43" s="12" t="s">
        <v>28</v>
      </c>
      <c r="D43" s="13" t="n">
        <v>10</v>
      </c>
      <c r="E43" s="13" t="n">
        <v>7</v>
      </c>
      <c r="F43" s="12" t="s">
        <v>15</v>
      </c>
    </row>
    <row r="44" customFormat="false" ht="15" hidden="false" customHeight="true" outlineLevel="0" collapsed="false">
      <c r="A44" s="6" t="s">
        <v>29</v>
      </c>
      <c r="B44" s="7" t="s">
        <v>45</v>
      </c>
      <c r="C44" s="8" t="s">
        <v>17</v>
      </c>
      <c r="D44" s="9" t="n">
        <v>3</v>
      </c>
      <c r="E44" s="9" t="n">
        <v>2</v>
      </c>
      <c r="F44" s="8" t="s">
        <v>18</v>
      </c>
    </row>
    <row r="45" customFormat="false" ht="15" hidden="false" customHeight="false" outlineLevel="0" collapsed="false">
      <c r="A45" s="6"/>
      <c r="B45" s="6"/>
      <c r="C45" s="8" t="s">
        <v>26</v>
      </c>
      <c r="D45" s="9" t="n">
        <v>300</v>
      </c>
      <c r="E45" s="9" t="n">
        <v>110</v>
      </c>
      <c r="F45" s="8" t="s">
        <v>15</v>
      </c>
    </row>
    <row r="46" customFormat="false" ht="15" hidden="false" customHeight="false" outlineLevel="0" collapsed="false">
      <c r="A46" s="6"/>
      <c r="B46" s="6"/>
      <c r="C46" s="8" t="s">
        <v>33</v>
      </c>
      <c r="D46" s="9" t="n">
        <v>150</v>
      </c>
      <c r="E46" s="9" t="n">
        <v>170</v>
      </c>
      <c r="F46" s="8" t="s">
        <v>15</v>
      </c>
    </row>
    <row r="47" customFormat="false" ht="15" hidden="false" customHeight="false" outlineLevel="0" collapsed="false">
      <c r="A47" s="6"/>
      <c r="B47" s="6"/>
      <c r="C47" s="8" t="s">
        <v>20</v>
      </c>
      <c r="D47" s="9" t="n">
        <v>100</v>
      </c>
      <c r="E47" s="9" t="n">
        <v>130</v>
      </c>
      <c r="F47" s="8" t="s">
        <v>15</v>
      </c>
    </row>
    <row r="48" customFormat="false" ht="15" hidden="false" customHeight="false" outlineLevel="0" collapsed="false">
      <c r="A48" s="6"/>
      <c r="B48" s="6"/>
      <c r="C48" s="8" t="s">
        <v>46</v>
      </c>
      <c r="D48" s="9" t="n">
        <v>40</v>
      </c>
      <c r="E48" s="9" t="n">
        <v>60</v>
      </c>
      <c r="F48" s="8" t="s">
        <v>15</v>
      </c>
    </row>
    <row r="49" customFormat="false" ht="15" hidden="false" customHeight="false" outlineLevel="0" collapsed="false">
      <c r="A49" s="6"/>
      <c r="B49" s="6"/>
      <c r="C49" s="8" t="s">
        <v>35</v>
      </c>
      <c r="D49" s="9" t="n">
        <v>20</v>
      </c>
      <c r="E49" s="9" t="n">
        <v>20</v>
      </c>
      <c r="F49" s="8" t="s">
        <v>15</v>
      </c>
    </row>
    <row r="50" customFormat="false" ht="15" hidden="false" customHeight="false" outlineLevel="0" collapsed="false">
      <c r="A50" s="6"/>
      <c r="B50" s="6"/>
      <c r="C50" s="8" t="s">
        <v>28</v>
      </c>
      <c r="D50" s="9" t="n">
        <v>8</v>
      </c>
      <c r="E50" s="9" t="n">
        <v>6</v>
      </c>
      <c r="F50" s="8" t="s">
        <v>15</v>
      </c>
    </row>
    <row r="51" customFormat="false" ht="15" hidden="false" customHeight="false" outlineLevel="0" collapsed="false">
      <c r="A51" s="18" t="s">
        <v>36</v>
      </c>
      <c r="B51" s="19" t="s">
        <v>47</v>
      </c>
      <c r="C51" s="20" t="s">
        <v>47</v>
      </c>
      <c r="D51" s="21" t="n">
        <v>110</v>
      </c>
      <c r="E51" s="21" t="n">
        <v>90</v>
      </c>
      <c r="F51" s="20" t="s">
        <v>15</v>
      </c>
    </row>
    <row r="53" customFormat="false" ht="19.5" hidden="false" customHeight="true" outlineLevel="0" collapsed="false">
      <c r="A53" s="5" t="s">
        <v>48</v>
      </c>
      <c r="B53" s="5"/>
      <c r="C53" s="5"/>
      <c r="D53" s="5"/>
      <c r="E53" s="5"/>
      <c r="F53" s="5"/>
    </row>
    <row r="54" customFormat="false" ht="15" hidden="false" customHeight="true" outlineLevel="0" collapsed="false">
      <c r="A54" s="6" t="s">
        <v>10</v>
      </c>
      <c r="B54" s="7" t="s">
        <v>11</v>
      </c>
      <c r="C54" s="8" t="s">
        <v>12</v>
      </c>
      <c r="D54" s="9" t="n">
        <v>250</v>
      </c>
      <c r="E54" s="9"/>
      <c r="F54" s="8" t="s">
        <v>13</v>
      </c>
    </row>
    <row r="55" customFormat="false" ht="15" hidden="false" customHeight="false" outlineLevel="0" collapsed="false">
      <c r="A55" s="6"/>
      <c r="B55" s="6"/>
      <c r="C55" s="8" t="s">
        <v>14</v>
      </c>
      <c r="D55" s="9" t="n">
        <v>100</v>
      </c>
      <c r="E55" s="9"/>
      <c r="F55" s="8" t="s">
        <v>15</v>
      </c>
    </row>
    <row r="56" customFormat="false" ht="15" hidden="false" customHeight="false" outlineLevel="0" collapsed="false">
      <c r="A56" s="6"/>
      <c r="B56" s="6"/>
      <c r="C56" s="8" t="s">
        <v>16</v>
      </c>
      <c r="D56" s="9" t="n">
        <v>65</v>
      </c>
      <c r="E56" s="9"/>
      <c r="F56" s="8" t="s">
        <v>15</v>
      </c>
    </row>
    <row r="57" customFormat="false" ht="15" hidden="false" customHeight="false" outlineLevel="0" collapsed="false">
      <c r="A57" s="6"/>
      <c r="B57" s="6"/>
      <c r="C57" s="8" t="s">
        <v>17</v>
      </c>
      <c r="D57" s="9" t="n">
        <v>1</v>
      </c>
      <c r="E57" s="9" t="n">
        <v>2</v>
      </c>
      <c r="F57" s="8" t="s">
        <v>18</v>
      </c>
    </row>
    <row r="58" customFormat="false" ht="15" hidden="false" customHeight="false" outlineLevel="0" collapsed="false">
      <c r="A58" s="6"/>
      <c r="B58" s="6"/>
      <c r="C58" s="8" t="s">
        <v>19</v>
      </c>
      <c r="D58" s="9"/>
      <c r="E58" s="9" t="n">
        <v>30</v>
      </c>
      <c r="F58" s="8" t="s">
        <v>15</v>
      </c>
    </row>
    <row r="59" customFormat="false" ht="15" hidden="false" customHeight="false" outlineLevel="0" collapsed="false">
      <c r="A59" s="6"/>
      <c r="B59" s="6"/>
      <c r="C59" s="8" t="s">
        <v>20</v>
      </c>
      <c r="D59" s="9"/>
      <c r="E59" s="9" t="n">
        <v>80</v>
      </c>
      <c r="F59" s="8" t="s">
        <v>15</v>
      </c>
    </row>
    <row r="60" customFormat="false" ht="15" hidden="false" customHeight="false" outlineLevel="0" collapsed="false">
      <c r="A60" s="6"/>
      <c r="B60" s="6"/>
      <c r="C60" s="8" t="s">
        <v>21</v>
      </c>
      <c r="D60" s="9"/>
      <c r="E60" s="9" t="n">
        <v>40</v>
      </c>
      <c r="F60" s="8" t="s">
        <v>15</v>
      </c>
    </row>
    <row r="61" customFormat="false" ht="15" hidden="false" customHeight="false" outlineLevel="0" collapsed="false">
      <c r="A61" s="6"/>
      <c r="B61" s="6"/>
      <c r="C61" s="8" t="s">
        <v>22</v>
      </c>
      <c r="D61" s="9"/>
      <c r="E61" s="9" t="n">
        <v>150</v>
      </c>
      <c r="F61" s="8" t="s">
        <v>15</v>
      </c>
    </row>
    <row r="62" customFormat="false" ht="15" hidden="false" customHeight="true" outlineLevel="0" collapsed="false">
      <c r="A62" s="10" t="s">
        <v>23</v>
      </c>
      <c r="B62" s="11" t="s">
        <v>49</v>
      </c>
      <c r="C62" s="12" t="s">
        <v>42</v>
      </c>
      <c r="D62" s="13" t="n">
        <v>150</v>
      </c>
      <c r="E62" s="13" t="n">
        <v>120</v>
      </c>
      <c r="F62" s="12" t="s">
        <v>15</v>
      </c>
    </row>
    <row r="63" customFormat="false" ht="15" hidden="false" customHeight="false" outlineLevel="0" collapsed="false">
      <c r="A63" s="10"/>
      <c r="B63" s="10"/>
      <c r="C63" s="12" t="s">
        <v>17</v>
      </c>
      <c r="D63" s="13" t="n">
        <v>2</v>
      </c>
      <c r="E63" s="13" t="n">
        <v>2</v>
      </c>
      <c r="F63" s="12" t="s">
        <v>18</v>
      </c>
    </row>
    <row r="64" customFormat="false" ht="15" hidden="false" customHeight="false" outlineLevel="0" collapsed="false">
      <c r="A64" s="10"/>
      <c r="B64" s="10"/>
      <c r="C64" s="12" t="s">
        <v>26</v>
      </c>
      <c r="D64" s="13" t="n">
        <v>240</v>
      </c>
      <c r="E64" s="13" t="n">
        <v>90</v>
      </c>
      <c r="F64" s="12" t="s">
        <v>15</v>
      </c>
    </row>
    <row r="65" customFormat="false" ht="15" hidden="false" customHeight="false" outlineLevel="0" collapsed="false">
      <c r="A65" s="10"/>
      <c r="B65" s="10"/>
      <c r="C65" s="12" t="s">
        <v>20</v>
      </c>
      <c r="D65" s="13" t="n">
        <v>150</v>
      </c>
      <c r="E65" s="13" t="n">
        <v>180</v>
      </c>
      <c r="F65" s="12" t="s">
        <v>15</v>
      </c>
    </row>
    <row r="66" customFormat="false" ht="15" hidden="false" customHeight="false" outlineLevel="0" collapsed="false">
      <c r="A66" s="10"/>
      <c r="B66" s="10"/>
      <c r="C66" s="12" t="s">
        <v>35</v>
      </c>
      <c r="D66" s="13" t="n">
        <v>30</v>
      </c>
      <c r="E66" s="13" t="n">
        <v>30</v>
      </c>
      <c r="F66" s="12" t="s">
        <v>15</v>
      </c>
    </row>
    <row r="67" customFormat="false" ht="15" hidden="false" customHeight="false" outlineLevel="0" collapsed="false">
      <c r="A67" s="10"/>
      <c r="B67" s="10"/>
      <c r="C67" s="12" t="s">
        <v>28</v>
      </c>
      <c r="D67" s="13" t="n">
        <v>10</v>
      </c>
      <c r="E67" s="13" t="n">
        <v>7</v>
      </c>
      <c r="F67" s="12" t="s">
        <v>15</v>
      </c>
    </row>
    <row r="68" customFormat="false" ht="15" hidden="false" customHeight="true" outlineLevel="0" collapsed="false">
      <c r="A68" s="6" t="s">
        <v>29</v>
      </c>
      <c r="B68" s="7" t="s">
        <v>50</v>
      </c>
      <c r="C68" s="8" t="s">
        <v>51</v>
      </c>
      <c r="D68" s="9" t="n">
        <v>130</v>
      </c>
      <c r="E68" s="9" t="n">
        <v>100</v>
      </c>
      <c r="F68" s="8" t="s">
        <v>15</v>
      </c>
    </row>
    <row r="69" customFormat="false" ht="15" hidden="false" customHeight="false" outlineLevel="0" collapsed="false">
      <c r="A69" s="6"/>
      <c r="B69" s="6"/>
      <c r="C69" s="8" t="s">
        <v>43</v>
      </c>
      <c r="D69" s="9" t="n">
        <v>85</v>
      </c>
      <c r="E69" s="9" t="n">
        <v>45</v>
      </c>
      <c r="F69" s="8" t="s">
        <v>15</v>
      </c>
    </row>
    <row r="70" customFormat="false" ht="15" hidden="false" customHeight="false" outlineLevel="0" collapsed="false">
      <c r="A70" s="6"/>
      <c r="B70" s="6"/>
      <c r="C70" s="8" t="s">
        <v>34</v>
      </c>
      <c r="D70" s="9" t="n">
        <v>60</v>
      </c>
      <c r="E70" s="9" t="n">
        <v>80</v>
      </c>
      <c r="F70" s="8" t="s">
        <v>15</v>
      </c>
    </row>
    <row r="71" customFormat="false" ht="15" hidden="false" customHeight="false" outlineLevel="0" collapsed="false">
      <c r="A71" s="6"/>
      <c r="B71" s="6"/>
      <c r="C71" s="8" t="s">
        <v>44</v>
      </c>
      <c r="D71" s="9" t="n">
        <v>80</v>
      </c>
      <c r="E71" s="9" t="n">
        <v>100</v>
      </c>
      <c r="F71" s="8" t="s">
        <v>15</v>
      </c>
    </row>
    <row r="72" customFormat="false" ht="15" hidden="false" customHeight="false" outlineLevel="0" collapsed="false">
      <c r="A72" s="6"/>
      <c r="B72" s="6"/>
      <c r="C72" s="8" t="s">
        <v>35</v>
      </c>
      <c r="D72" s="9" t="n">
        <v>30</v>
      </c>
      <c r="E72" s="9" t="n">
        <v>30</v>
      </c>
      <c r="F72" s="8" t="s">
        <v>15</v>
      </c>
    </row>
    <row r="73" customFormat="false" ht="15" hidden="false" customHeight="false" outlineLevel="0" collapsed="false">
      <c r="A73" s="6"/>
      <c r="B73" s="6"/>
      <c r="C73" s="8" t="s">
        <v>28</v>
      </c>
      <c r="D73" s="9" t="n">
        <v>10</v>
      </c>
      <c r="E73" s="9" t="n">
        <v>7</v>
      </c>
      <c r="F73" s="8" t="s">
        <v>15</v>
      </c>
    </row>
    <row r="74" customFormat="false" ht="15" hidden="false" customHeight="false" outlineLevel="0" collapsed="false">
      <c r="A74" s="18" t="s">
        <v>36</v>
      </c>
      <c r="B74" s="19" t="s">
        <v>47</v>
      </c>
      <c r="C74" s="20" t="s">
        <v>47</v>
      </c>
      <c r="D74" s="21" t="n">
        <v>110</v>
      </c>
      <c r="E74" s="21" t="n">
        <v>90</v>
      </c>
      <c r="F74" s="20" t="s">
        <v>15</v>
      </c>
    </row>
    <row r="76" customFormat="false" ht="19.5" hidden="false" customHeight="true" outlineLevel="0" collapsed="false">
      <c r="A76" s="5" t="s">
        <v>52</v>
      </c>
      <c r="B76" s="5"/>
      <c r="C76" s="5"/>
      <c r="D76" s="5"/>
      <c r="E76" s="5"/>
      <c r="F76" s="5"/>
    </row>
    <row r="77" customFormat="false" ht="15" hidden="false" customHeight="true" outlineLevel="0" collapsed="false">
      <c r="A77" s="6" t="s">
        <v>10</v>
      </c>
      <c r="B77" s="7" t="s">
        <v>11</v>
      </c>
      <c r="C77" s="8" t="s">
        <v>12</v>
      </c>
      <c r="D77" s="9" t="n">
        <v>250</v>
      </c>
      <c r="E77" s="9"/>
      <c r="F77" s="8" t="s">
        <v>13</v>
      </c>
    </row>
    <row r="78" customFormat="false" ht="15" hidden="false" customHeight="false" outlineLevel="0" collapsed="false">
      <c r="A78" s="6"/>
      <c r="B78" s="6"/>
      <c r="C78" s="8" t="s">
        <v>14</v>
      </c>
      <c r="D78" s="9" t="n">
        <v>100</v>
      </c>
      <c r="E78" s="9"/>
      <c r="F78" s="8" t="s">
        <v>15</v>
      </c>
    </row>
    <row r="79" customFormat="false" ht="15" hidden="false" customHeight="false" outlineLevel="0" collapsed="false">
      <c r="A79" s="6"/>
      <c r="B79" s="6"/>
      <c r="C79" s="8" t="s">
        <v>16</v>
      </c>
      <c r="D79" s="9" t="n">
        <v>65</v>
      </c>
      <c r="E79" s="9"/>
      <c r="F79" s="8" t="s">
        <v>15</v>
      </c>
    </row>
    <row r="80" customFormat="false" ht="15" hidden="false" customHeight="false" outlineLevel="0" collapsed="false">
      <c r="A80" s="6"/>
      <c r="B80" s="6"/>
      <c r="C80" s="8" t="s">
        <v>17</v>
      </c>
      <c r="D80" s="9" t="n">
        <v>1</v>
      </c>
      <c r="E80" s="9" t="n">
        <v>2</v>
      </c>
      <c r="F80" s="8" t="s">
        <v>18</v>
      </c>
    </row>
    <row r="81" customFormat="false" ht="15" hidden="false" customHeight="false" outlineLevel="0" collapsed="false">
      <c r="A81" s="6"/>
      <c r="B81" s="6"/>
      <c r="C81" s="8" t="s">
        <v>19</v>
      </c>
      <c r="D81" s="9"/>
      <c r="E81" s="9" t="n">
        <v>30</v>
      </c>
      <c r="F81" s="8" t="s">
        <v>15</v>
      </c>
    </row>
    <row r="82" customFormat="false" ht="15" hidden="false" customHeight="false" outlineLevel="0" collapsed="false">
      <c r="A82" s="6"/>
      <c r="B82" s="6"/>
      <c r="C82" s="8" t="s">
        <v>20</v>
      </c>
      <c r="D82" s="9"/>
      <c r="E82" s="9" t="n">
        <v>80</v>
      </c>
      <c r="F82" s="8" t="s">
        <v>15</v>
      </c>
    </row>
    <row r="83" customFormat="false" ht="15" hidden="false" customHeight="false" outlineLevel="0" collapsed="false">
      <c r="A83" s="6"/>
      <c r="B83" s="6"/>
      <c r="C83" s="8" t="s">
        <v>21</v>
      </c>
      <c r="D83" s="9"/>
      <c r="E83" s="9" t="n">
        <v>40</v>
      </c>
      <c r="F83" s="8" t="s">
        <v>15</v>
      </c>
    </row>
    <row r="84" customFormat="false" ht="15" hidden="false" customHeight="false" outlineLevel="0" collapsed="false">
      <c r="A84" s="6"/>
      <c r="B84" s="6"/>
      <c r="C84" s="8" t="s">
        <v>22</v>
      </c>
      <c r="D84" s="9"/>
      <c r="E84" s="9" t="n">
        <v>150</v>
      </c>
      <c r="F84" s="8" t="s">
        <v>15</v>
      </c>
    </row>
    <row r="85" customFormat="false" ht="15" hidden="false" customHeight="true" outlineLevel="0" collapsed="false">
      <c r="A85" s="22" t="s">
        <v>23</v>
      </c>
      <c r="B85" s="23" t="s">
        <v>53</v>
      </c>
      <c r="C85" s="24" t="s">
        <v>51</v>
      </c>
      <c r="D85" s="25" t="n">
        <v>150</v>
      </c>
      <c r="E85" s="25" t="n">
        <v>120</v>
      </c>
      <c r="F85" s="24" t="s">
        <v>15</v>
      </c>
    </row>
    <row r="86" customFormat="false" ht="15" hidden="false" customHeight="false" outlineLevel="0" collapsed="false">
      <c r="A86" s="22"/>
      <c r="B86" s="22"/>
      <c r="C86" s="24" t="s">
        <v>54</v>
      </c>
      <c r="D86" s="25" t="n">
        <v>1</v>
      </c>
      <c r="E86" s="25" t="n">
        <v>1</v>
      </c>
      <c r="F86" s="24" t="s">
        <v>18</v>
      </c>
    </row>
    <row r="87" customFormat="false" ht="15" hidden="false" customHeight="false" outlineLevel="0" collapsed="false">
      <c r="A87" s="22"/>
      <c r="B87" s="22"/>
      <c r="C87" s="24" t="s">
        <v>55</v>
      </c>
      <c r="D87" s="25" t="n">
        <v>20</v>
      </c>
      <c r="E87" s="25" t="n">
        <v>15</v>
      </c>
      <c r="F87" s="24" t="s">
        <v>15</v>
      </c>
    </row>
    <row r="88" customFormat="false" ht="15" hidden="false" customHeight="false" outlineLevel="0" collapsed="false">
      <c r="A88" s="22"/>
      <c r="B88" s="22"/>
      <c r="C88" s="24" t="s">
        <v>20</v>
      </c>
      <c r="D88" s="25" t="n">
        <v>60</v>
      </c>
      <c r="E88" s="25" t="n">
        <v>80</v>
      </c>
      <c r="F88" s="24" t="s">
        <v>15</v>
      </c>
    </row>
    <row r="89" customFormat="false" ht="15" hidden="false" customHeight="false" outlineLevel="0" collapsed="false">
      <c r="A89" s="22"/>
      <c r="B89" s="22"/>
      <c r="C89" s="24" t="s">
        <v>46</v>
      </c>
      <c r="D89" s="25" t="n">
        <v>30</v>
      </c>
      <c r="E89" s="25" t="n">
        <v>40</v>
      </c>
      <c r="F89" s="24" t="s">
        <v>15</v>
      </c>
    </row>
    <row r="90" customFormat="false" ht="15" hidden="false" customHeight="false" outlineLevel="0" collapsed="false">
      <c r="A90" s="22"/>
      <c r="B90" s="22"/>
      <c r="C90" s="24" t="s">
        <v>35</v>
      </c>
      <c r="D90" s="25" t="n">
        <v>20</v>
      </c>
      <c r="E90" s="25" t="n">
        <v>20</v>
      </c>
      <c r="F90" s="24" t="s">
        <v>15</v>
      </c>
    </row>
    <row r="91" customFormat="false" ht="15" hidden="false" customHeight="false" outlineLevel="0" collapsed="false">
      <c r="A91" s="22"/>
      <c r="B91" s="22"/>
      <c r="C91" s="24" t="s">
        <v>26</v>
      </c>
      <c r="D91" s="25" t="n">
        <v>300</v>
      </c>
      <c r="E91" s="25" t="n">
        <v>140</v>
      </c>
      <c r="F91" s="24" t="s">
        <v>15</v>
      </c>
    </row>
    <row r="92" customFormat="false" ht="15" hidden="false" customHeight="false" outlineLevel="0" collapsed="false">
      <c r="A92" s="22"/>
      <c r="B92" s="22"/>
      <c r="C92" s="24" t="s">
        <v>28</v>
      </c>
      <c r="D92" s="25" t="n">
        <v>8</v>
      </c>
      <c r="E92" s="25" t="n">
        <v>5</v>
      </c>
      <c r="F92" s="24" t="s">
        <v>15</v>
      </c>
    </row>
    <row r="93" customFormat="false" ht="15" hidden="false" customHeight="true" outlineLevel="0" collapsed="false">
      <c r="A93" s="6" t="s">
        <v>29</v>
      </c>
      <c r="B93" s="7" t="s">
        <v>56</v>
      </c>
      <c r="C93" s="8" t="s">
        <v>25</v>
      </c>
      <c r="D93" s="9" t="n">
        <v>130</v>
      </c>
      <c r="E93" s="9" t="n">
        <v>100</v>
      </c>
      <c r="F93" s="8" t="s">
        <v>15</v>
      </c>
    </row>
    <row r="94" customFormat="false" ht="15" hidden="false" customHeight="false" outlineLevel="0" collapsed="false">
      <c r="A94" s="6"/>
      <c r="B94" s="6"/>
      <c r="C94" s="8" t="s">
        <v>57</v>
      </c>
      <c r="D94" s="9" t="n">
        <v>80</v>
      </c>
      <c r="E94" s="9" t="n">
        <v>60</v>
      </c>
      <c r="F94" s="8" t="s">
        <v>15</v>
      </c>
    </row>
    <row r="95" customFormat="false" ht="15" hidden="false" customHeight="false" outlineLevel="0" collapsed="false">
      <c r="A95" s="6"/>
      <c r="B95" s="6"/>
      <c r="C95" s="8" t="s">
        <v>20</v>
      </c>
      <c r="D95" s="9" t="n">
        <v>120</v>
      </c>
      <c r="E95" s="9" t="n">
        <v>150</v>
      </c>
      <c r="F95" s="8" t="s">
        <v>15</v>
      </c>
    </row>
    <row r="96" customFormat="false" ht="15" hidden="false" customHeight="false" outlineLevel="0" collapsed="false">
      <c r="A96" s="6"/>
      <c r="B96" s="6"/>
      <c r="C96" s="8" t="s">
        <v>58</v>
      </c>
      <c r="D96" s="9" t="n">
        <v>40</v>
      </c>
      <c r="E96" s="9" t="n">
        <v>30</v>
      </c>
      <c r="F96" s="8" t="s">
        <v>15</v>
      </c>
    </row>
    <row r="97" customFormat="false" ht="15" hidden="false" customHeight="false" outlineLevel="0" collapsed="false">
      <c r="A97" s="6"/>
      <c r="B97" s="6"/>
      <c r="C97" s="8" t="s">
        <v>46</v>
      </c>
      <c r="D97" s="9" t="n">
        <v>40</v>
      </c>
      <c r="E97" s="9" t="n">
        <v>60</v>
      </c>
      <c r="F97" s="8" t="s">
        <v>15</v>
      </c>
    </row>
    <row r="98" customFormat="false" ht="15" hidden="false" customHeight="false" outlineLevel="0" collapsed="false">
      <c r="A98" s="6"/>
      <c r="B98" s="6"/>
      <c r="C98" s="8" t="s">
        <v>28</v>
      </c>
      <c r="D98" s="9" t="n">
        <v>8</v>
      </c>
      <c r="E98" s="9" t="n">
        <v>6</v>
      </c>
      <c r="F98" s="8" t="s">
        <v>15</v>
      </c>
    </row>
    <row r="99" customFormat="false" ht="15" hidden="false" customHeight="false" outlineLevel="0" collapsed="false">
      <c r="A99" s="18" t="s">
        <v>36</v>
      </c>
      <c r="B99" s="19" t="s">
        <v>59</v>
      </c>
      <c r="C99" s="20" t="s">
        <v>59</v>
      </c>
      <c r="D99" s="21" t="n">
        <v>75</v>
      </c>
      <c r="E99" s="21" t="n">
        <v>55</v>
      </c>
      <c r="F99" s="20" t="s">
        <v>15</v>
      </c>
    </row>
    <row r="101" customFormat="false" ht="19.5" hidden="false" customHeight="true" outlineLevel="0" collapsed="false">
      <c r="A101" s="5" t="s">
        <v>60</v>
      </c>
      <c r="B101" s="5"/>
      <c r="C101" s="5"/>
      <c r="D101" s="5"/>
      <c r="E101" s="5"/>
      <c r="F101" s="5"/>
    </row>
    <row r="102" customFormat="false" ht="15" hidden="false" customHeight="true" outlineLevel="0" collapsed="false">
      <c r="A102" s="6" t="s">
        <v>10</v>
      </c>
      <c r="B102" s="7" t="s">
        <v>11</v>
      </c>
      <c r="C102" s="8" t="s">
        <v>12</v>
      </c>
      <c r="D102" s="9" t="n">
        <v>250</v>
      </c>
      <c r="E102" s="9"/>
      <c r="F102" s="8" t="s">
        <v>13</v>
      </c>
    </row>
    <row r="103" customFormat="false" ht="15" hidden="false" customHeight="false" outlineLevel="0" collapsed="false">
      <c r="A103" s="6"/>
      <c r="B103" s="6"/>
      <c r="C103" s="8" t="s">
        <v>14</v>
      </c>
      <c r="D103" s="9" t="n">
        <v>100</v>
      </c>
      <c r="E103" s="9"/>
      <c r="F103" s="8" t="s">
        <v>15</v>
      </c>
    </row>
    <row r="104" customFormat="false" ht="15" hidden="false" customHeight="false" outlineLevel="0" collapsed="false">
      <c r="A104" s="6"/>
      <c r="B104" s="6"/>
      <c r="C104" s="8" t="s">
        <v>16</v>
      </c>
      <c r="D104" s="9" t="n">
        <v>65</v>
      </c>
      <c r="E104" s="9"/>
      <c r="F104" s="8" t="s">
        <v>15</v>
      </c>
    </row>
    <row r="105" customFormat="false" ht="15" hidden="false" customHeight="false" outlineLevel="0" collapsed="false">
      <c r="A105" s="6"/>
      <c r="B105" s="6"/>
      <c r="C105" s="8" t="s">
        <v>17</v>
      </c>
      <c r="D105" s="9" t="n">
        <v>1</v>
      </c>
      <c r="E105" s="9" t="n">
        <v>2</v>
      </c>
      <c r="F105" s="8" t="s">
        <v>18</v>
      </c>
    </row>
    <row r="106" customFormat="false" ht="15" hidden="false" customHeight="false" outlineLevel="0" collapsed="false">
      <c r="A106" s="6"/>
      <c r="B106" s="6"/>
      <c r="C106" s="8" t="s">
        <v>19</v>
      </c>
      <c r="D106" s="9"/>
      <c r="E106" s="9" t="n">
        <v>30</v>
      </c>
      <c r="F106" s="8" t="s">
        <v>15</v>
      </c>
    </row>
    <row r="107" customFormat="false" ht="15" hidden="false" customHeight="false" outlineLevel="0" collapsed="false">
      <c r="A107" s="6"/>
      <c r="B107" s="6"/>
      <c r="C107" s="8" t="s">
        <v>20</v>
      </c>
      <c r="D107" s="9"/>
      <c r="E107" s="9" t="n">
        <v>80</v>
      </c>
      <c r="F107" s="8" t="s">
        <v>15</v>
      </c>
    </row>
    <row r="108" customFormat="false" ht="15" hidden="false" customHeight="false" outlineLevel="0" collapsed="false">
      <c r="A108" s="6"/>
      <c r="B108" s="6"/>
      <c r="C108" s="8" t="s">
        <v>21</v>
      </c>
      <c r="D108" s="9"/>
      <c r="E108" s="9" t="n">
        <v>40</v>
      </c>
      <c r="F108" s="8" t="s">
        <v>15</v>
      </c>
    </row>
    <row r="109" customFormat="false" ht="15" hidden="false" customHeight="false" outlineLevel="0" collapsed="false">
      <c r="A109" s="6"/>
      <c r="B109" s="6"/>
      <c r="C109" s="8" t="s">
        <v>22</v>
      </c>
      <c r="D109" s="9"/>
      <c r="E109" s="9" t="n">
        <v>150</v>
      </c>
      <c r="F109" s="8" t="s">
        <v>15</v>
      </c>
    </row>
    <row r="110" customFormat="false" ht="15" hidden="false" customHeight="true" outlineLevel="0" collapsed="false">
      <c r="A110" s="10" t="s">
        <v>23</v>
      </c>
      <c r="B110" s="11" t="s">
        <v>61</v>
      </c>
      <c r="C110" s="12" t="s">
        <v>25</v>
      </c>
      <c r="D110" s="13" t="n">
        <v>150</v>
      </c>
      <c r="E110" s="13" t="n">
        <v>120</v>
      </c>
      <c r="F110" s="12" t="s">
        <v>15</v>
      </c>
    </row>
    <row r="111" customFormat="false" ht="15" hidden="false" customHeight="false" outlineLevel="0" collapsed="false">
      <c r="A111" s="10"/>
      <c r="B111" s="10"/>
      <c r="C111" s="12" t="s">
        <v>32</v>
      </c>
      <c r="D111" s="13" t="n">
        <v>300</v>
      </c>
      <c r="E111" s="13" t="n">
        <v>140</v>
      </c>
      <c r="F111" s="12" t="s">
        <v>15</v>
      </c>
    </row>
    <row r="112" customFormat="false" ht="15" hidden="false" customHeight="false" outlineLevel="0" collapsed="false">
      <c r="A112" s="10"/>
      <c r="B112" s="10"/>
      <c r="C112" s="12" t="s">
        <v>27</v>
      </c>
      <c r="D112" s="13" t="n">
        <v>250</v>
      </c>
      <c r="E112" s="13" t="n">
        <v>280</v>
      </c>
      <c r="F112" s="12" t="s">
        <v>15</v>
      </c>
    </row>
    <row r="113" customFormat="false" ht="15" hidden="false" customHeight="false" outlineLevel="0" collapsed="false">
      <c r="A113" s="10"/>
      <c r="B113" s="10"/>
      <c r="C113" s="12" t="s">
        <v>28</v>
      </c>
      <c r="D113" s="13" t="n">
        <v>10</v>
      </c>
      <c r="E113" s="13" t="n">
        <v>7</v>
      </c>
      <c r="F113" s="12" t="s">
        <v>15</v>
      </c>
    </row>
    <row r="114" customFormat="false" ht="15" hidden="false" customHeight="true" outlineLevel="0" collapsed="false">
      <c r="A114" s="6" t="s">
        <v>29</v>
      </c>
      <c r="B114" s="7" t="s">
        <v>62</v>
      </c>
      <c r="C114" s="8" t="s">
        <v>25</v>
      </c>
      <c r="D114" s="9" t="n">
        <v>130</v>
      </c>
      <c r="E114" s="9" t="n">
        <v>100</v>
      </c>
      <c r="F114" s="8" t="s">
        <v>15</v>
      </c>
    </row>
    <row r="115" customFormat="false" ht="15" hidden="false" customHeight="false" outlineLevel="0" collapsed="false">
      <c r="A115" s="6"/>
      <c r="B115" s="6"/>
      <c r="C115" s="8" t="s">
        <v>57</v>
      </c>
      <c r="D115" s="9" t="n">
        <v>80</v>
      </c>
      <c r="E115" s="9" t="n">
        <v>60</v>
      </c>
      <c r="F115" s="8" t="s">
        <v>15</v>
      </c>
    </row>
    <row r="116" customFormat="false" ht="15" hidden="false" customHeight="false" outlineLevel="0" collapsed="false">
      <c r="A116" s="6"/>
      <c r="B116" s="6"/>
      <c r="C116" s="8" t="s">
        <v>44</v>
      </c>
      <c r="D116" s="9" t="n">
        <v>100</v>
      </c>
      <c r="E116" s="9" t="n">
        <v>120</v>
      </c>
      <c r="F116" s="8" t="s">
        <v>15</v>
      </c>
    </row>
    <row r="117" customFormat="false" ht="15" hidden="false" customHeight="false" outlineLevel="0" collapsed="false">
      <c r="A117" s="6"/>
      <c r="B117" s="6"/>
      <c r="C117" s="8" t="s">
        <v>20</v>
      </c>
      <c r="D117" s="9" t="n">
        <v>80</v>
      </c>
      <c r="E117" s="9" t="n">
        <v>100</v>
      </c>
      <c r="F117" s="8" t="s">
        <v>15</v>
      </c>
    </row>
    <row r="118" customFormat="false" ht="15" hidden="false" customHeight="false" outlineLevel="0" collapsed="false">
      <c r="A118" s="6"/>
      <c r="B118" s="6"/>
      <c r="C118" s="8" t="s">
        <v>26</v>
      </c>
      <c r="D118" s="9" t="n">
        <v>240</v>
      </c>
      <c r="E118" s="9" t="n">
        <v>90</v>
      </c>
      <c r="F118" s="8" t="s">
        <v>15</v>
      </c>
    </row>
    <row r="119" customFormat="false" ht="15" hidden="false" customHeight="false" outlineLevel="0" collapsed="false">
      <c r="A119" s="6"/>
      <c r="B119" s="6"/>
      <c r="C119" s="8" t="s">
        <v>28</v>
      </c>
      <c r="D119" s="9" t="n">
        <v>8</v>
      </c>
      <c r="E119" s="9" t="n">
        <v>6</v>
      </c>
      <c r="F119" s="8" t="s">
        <v>15</v>
      </c>
    </row>
    <row r="120" customFormat="false" ht="15" hidden="false" customHeight="true" outlineLevel="0" collapsed="false">
      <c r="A120" s="18" t="s">
        <v>36</v>
      </c>
      <c r="B120" s="19" t="s">
        <v>37</v>
      </c>
      <c r="C120" s="20" t="s">
        <v>38</v>
      </c>
      <c r="D120" s="21" t="n">
        <v>125</v>
      </c>
      <c r="E120" s="21" t="n">
        <v>125</v>
      </c>
      <c r="F120" s="20" t="s">
        <v>15</v>
      </c>
    </row>
    <row r="121" customFormat="false" ht="15" hidden="false" customHeight="false" outlineLevel="0" collapsed="false">
      <c r="A121" s="18"/>
      <c r="B121" s="18"/>
      <c r="C121" s="20" t="s">
        <v>39</v>
      </c>
      <c r="D121" s="21" t="n">
        <v>10</v>
      </c>
      <c r="E121" s="21" t="n">
        <v>10</v>
      </c>
      <c r="F121" s="20" t="s">
        <v>15</v>
      </c>
    </row>
    <row r="123" customFormat="false" ht="19.5" hidden="false" customHeight="true" outlineLevel="0" collapsed="false">
      <c r="A123" s="5" t="s">
        <v>63</v>
      </c>
      <c r="B123" s="5"/>
      <c r="C123" s="5"/>
      <c r="D123" s="5"/>
      <c r="E123" s="5"/>
      <c r="F123" s="5"/>
    </row>
    <row r="124" customFormat="false" ht="15" hidden="false" customHeight="true" outlineLevel="0" collapsed="false">
      <c r="A124" s="6" t="s">
        <v>10</v>
      </c>
      <c r="B124" s="7" t="s">
        <v>11</v>
      </c>
      <c r="C124" s="8" t="s">
        <v>12</v>
      </c>
      <c r="D124" s="9" t="n">
        <v>250</v>
      </c>
      <c r="E124" s="9"/>
      <c r="F124" s="8" t="s">
        <v>13</v>
      </c>
    </row>
    <row r="125" customFormat="false" ht="15" hidden="false" customHeight="false" outlineLevel="0" collapsed="false">
      <c r="A125" s="6"/>
      <c r="B125" s="6"/>
      <c r="C125" s="8" t="s">
        <v>14</v>
      </c>
      <c r="D125" s="9" t="n">
        <v>100</v>
      </c>
      <c r="E125" s="9"/>
      <c r="F125" s="8" t="s">
        <v>15</v>
      </c>
    </row>
    <row r="126" customFormat="false" ht="15" hidden="false" customHeight="false" outlineLevel="0" collapsed="false">
      <c r="A126" s="6"/>
      <c r="B126" s="6"/>
      <c r="C126" s="8" t="s">
        <v>16</v>
      </c>
      <c r="D126" s="9" t="n">
        <v>65</v>
      </c>
      <c r="E126" s="9"/>
      <c r="F126" s="8" t="s">
        <v>15</v>
      </c>
    </row>
    <row r="127" customFormat="false" ht="15" hidden="false" customHeight="false" outlineLevel="0" collapsed="false">
      <c r="A127" s="6"/>
      <c r="B127" s="6"/>
      <c r="C127" s="8" t="s">
        <v>17</v>
      </c>
      <c r="D127" s="9" t="n">
        <v>1</v>
      </c>
      <c r="E127" s="9" t="n">
        <v>2</v>
      </c>
      <c r="F127" s="8" t="s">
        <v>18</v>
      </c>
    </row>
    <row r="128" customFormat="false" ht="15" hidden="false" customHeight="false" outlineLevel="0" collapsed="false">
      <c r="A128" s="6"/>
      <c r="B128" s="6"/>
      <c r="C128" s="8" t="s">
        <v>19</v>
      </c>
      <c r="D128" s="9"/>
      <c r="E128" s="9" t="n">
        <v>30</v>
      </c>
      <c r="F128" s="8" t="s">
        <v>15</v>
      </c>
    </row>
    <row r="129" customFormat="false" ht="15" hidden="false" customHeight="false" outlineLevel="0" collapsed="false">
      <c r="A129" s="6"/>
      <c r="B129" s="6"/>
      <c r="C129" s="8" t="s">
        <v>20</v>
      </c>
      <c r="D129" s="9"/>
      <c r="E129" s="9" t="n">
        <v>80</v>
      </c>
      <c r="F129" s="8" t="s">
        <v>15</v>
      </c>
    </row>
    <row r="130" customFormat="false" ht="15" hidden="false" customHeight="false" outlineLevel="0" collapsed="false">
      <c r="A130" s="6"/>
      <c r="B130" s="6"/>
      <c r="C130" s="8" t="s">
        <v>21</v>
      </c>
      <c r="D130" s="9"/>
      <c r="E130" s="9" t="n">
        <v>40</v>
      </c>
      <c r="F130" s="8" t="s">
        <v>15</v>
      </c>
    </row>
    <row r="131" customFormat="false" ht="15" hidden="false" customHeight="false" outlineLevel="0" collapsed="false">
      <c r="A131" s="6"/>
      <c r="B131" s="6"/>
      <c r="C131" s="8" t="s">
        <v>22</v>
      </c>
      <c r="D131" s="9"/>
      <c r="E131" s="9" t="n">
        <v>150</v>
      </c>
      <c r="F131" s="8" t="s">
        <v>15</v>
      </c>
    </row>
    <row r="132" customFormat="false" ht="15" hidden="false" customHeight="true" outlineLevel="0" collapsed="false">
      <c r="A132" s="10" t="s">
        <v>23</v>
      </c>
      <c r="B132" s="11" t="s">
        <v>64</v>
      </c>
      <c r="C132" s="12" t="s">
        <v>25</v>
      </c>
      <c r="D132" s="13" t="n">
        <v>150</v>
      </c>
      <c r="E132" s="13" t="n">
        <v>120</v>
      </c>
      <c r="F132" s="12" t="s">
        <v>15</v>
      </c>
    </row>
    <row r="133" customFormat="false" ht="15" hidden="false" customHeight="false" outlineLevel="0" collapsed="false">
      <c r="A133" s="10"/>
      <c r="B133" s="10"/>
      <c r="C133" s="12" t="s">
        <v>34</v>
      </c>
      <c r="D133" s="13" t="n">
        <v>70</v>
      </c>
      <c r="E133" s="13" t="n">
        <v>90</v>
      </c>
      <c r="F133" s="12" t="s">
        <v>15</v>
      </c>
    </row>
    <row r="134" customFormat="false" ht="15" hidden="false" customHeight="false" outlineLevel="0" collapsed="false">
      <c r="A134" s="10"/>
      <c r="B134" s="10"/>
      <c r="C134" s="12" t="s">
        <v>20</v>
      </c>
      <c r="D134" s="13" t="n">
        <v>120</v>
      </c>
      <c r="E134" s="13" t="n">
        <v>150</v>
      </c>
      <c r="F134" s="12" t="s">
        <v>15</v>
      </c>
    </row>
    <row r="135" customFormat="false" ht="15" hidden="false" customHeight="false" outlineLevel="0" collapsed="false">
      <c r="A135" s="10"/>
      <c r="B135" s="10"/>
      <c r="C135" s="12" t="s">
        <v>35</v>
      </c>
      <c r="D135" s="13" t="n">
        <v>30</v>
      </c>
      <c r="E135" s="13" t="n">
        <v>30</v>
      </c>
      <c r="F135" s="12" t="s">
        <v>15</v>
      </c>
    </row>
    <row r="136" customFormat="false" ht="15" hidden="false" customHeight="false" outlineLevel="0" collapsed="false">
      <c r="A136" s="10"/>
      <c r="B136" s="10"/>
      <c r="C136" s="12" t="s">
        <v>43</v>
      </c>
      <c r="D136" s="13" t="n">
        <v>85</v>
      </c>
      <c r="E136" s="13" t="n">
        <v>45</v>
      </c>
      <c r="F136" s="12" t="s">
        <v>15</v>
      </c>
    </row>
    <row r="137" customFormat="false" ht="15" hidden="false" customHeight="false" outlineLevel="0" collapsed="false">
      <c r="A137" s="10"/>
      <c r="B137" s="10"/>
      <c r="C137" s="12" t="s">
        <v>28</v>
      </c>
      <c r="D137" s="13" t="n">
        <v>10</v>
      </c>
      <c r="E137" s="13" t="n">
        <v>7</v>
      </c>
      <c r="F137" s="12" t="s">
        <v>15</v>
      </c>
    </row>
    <row r="138" customFormat="false" ht="15" hidden="false" customHeight="true" outlineLevel="0" collapsed="false">
      <c r="A138" s="6" t="s">
        <v>29</v>
      </c>
      <c r="B138" s="7" t="s">
        <v>65</v>
      </c>
      <c r="C138" s="8" t="s">
        <v>25</v>
      </c>
      <c r="D138" s="9" t="n">
        <v>120</v>
      </c>
      <c r="E138" s="9" t="n">
        <v>90</v>
      </c>
      <c r="F138" s="8" t="s">
        <v>15</v>
      </c>
    </row>
    <row r="139" customFormat="false" ht="15" hidden="false" customHeight="false" outlineLevel="0" collapsed="false">
      <c r="A139" s="6"/>
      <c r="B139" s="6"/>
      <c r="C139" s="8" t="s">
        <v>66</v>
      </c>
      <c r="D139" s="9" t="n">
        <v>105</v>
      </c>
      <c r="E139" s="9" t="n">
        <v>60</v>
      </c>
      <c r="F139" s="8" t="s">
        <v>15</v>
      </c>
    </row>
    <row r="140" customFormat="false" ht="15" hidden="false" customHeight="false" outlineLevel="0" collapsed="false">
      <c r="A140" s="6"/>
      <c r="B140" s="6"/>
      <c r="C140" s="8" t="s">
        <v>67</v>
      </c>
      <c r="D140" s="9" t="n">
        <v>80</v>
      </c>
      <c r="E140" s="9" t="n">
        <v>80</v>
      </c>
      <c r="F140" s="8" t="s">
        <v>15</v>
      </c>
    </row>
    <row r="141" customFormat="false" ht="15" hidden="false" customHeight="false" outlineLevel="0" collapsed="false">
      <c r="A141" s="6"/>
      <c r="B141" s="6"/>
      <c r="C141" s="8" t="s">
        <v>33</v>
      </c>
      <c r="D141" s="9" t="n">
        <v>120</v>
      </c>
      <c r="E141" s="9" t="n">
        <v>150</v>
      </c>
      <c r="F141" s="8" t="s">
        <v>15</v>
      </c>
    </row>
    <row r="142" customFormat="false" ht="15" hidden="false" customHeight="false" outlineLevel="0" collapsed="false">
      <c r="A142" s="6"/>
      <c r="B142" s="6"/>
      <c r="C142" s="8" t="s">
        <v>28</v>
      </c>
      <c r="D142" s="9" t="n">
        <v>10</v>
      </c>
      <c r="E142" s="9" t="n">
        <v>7</v>
      </c>
      <c r="F142" s="8" t="s">
        <v>15</v>
      </c>
    </row>
    <row r="143" customFormat="false" ht="15" hidden="false" customHeight="false" outlineLevel="0" collapsed="false">
      <c r="A143" s="18" t="s">
        <v>36</v>
      </c>
      <c r="B143" s="19" t="s">
        <v>68</v>
      </c>
      <c r="C143" s="20" t="s">
        <v>39</v>
      </c>
      <c r="D143" s="21" t="n">
        <v>15</v>
      </c>
      <c r="E143" s="21" t="n">
        <v>10</v>
      </c>
      <c r="F143" s="20" t="s">
        <v>15</v>
      </c>
    </row>
    <row r="145" customFormat="false" ht="19.5" hidden="false" customHeight="true" outlineLevel="0" collapsed="false">
      <c r="A145" s="5" t="s">
        <v>69</v>
      </c>
      <c r="B145" s="5"/>
      <c r="C145" s="5"/>
      <c r="D145" s="5"/>
      <c r="E145" s="5"/>
      <c r="F145" s="5"/>
    </row>
    <row r="146" customFormat="false" ht="15" hidden="false" customHeight="true" outlineLevel="0" collapsed="false">
      <c r="A146" s="6" t="s">
        <v>10</v>
      </c>
      <c r="B146" s="7" t="s">
        <v>11</v>
      </c>
      <c r="C146" s="8" t="s">
        <v>12</v>
      </c>
      <c r="D146" s="9" t="n">
        <v>250</v>
      </c>
      <c r="E146" s="9"/>
      <c r="F146" s="8" t="s">
        <v>13</v>
      </c>
    </row>
    <row r="147" customFormat="false" ht="15" hidden="false" customHeight="false" outlineLevel="0" collapsed="false">
      <c r="A147" s="6"/>
      <c r="B147" s="6"/>
      <c r="C147" s="8" t="s">
        <v>14</v>
      </c>
      <c r="D147" s="9" t="n">
        <v>100</v>
      </c>
      <c r="E147" s="9"/>
      <c r="F147" s="8" t="s">
        <v>15</v>
      </c>
    </row>
    <row r="148" customFormat="false" ht="15" hidden="false" customHeight="false" outlineLevel="0" collapsed="false">
      <c r="A148" s="6"/>
      <c r="B148" s="6"/>
      <c r="C148" s="8" t="s">
        <v>16</v>
      </c>
      <c r="D148" s="9" t="n">
        <v>65</v>
      </c>
      <c r="E148" s="9"/>
      <c r="F148" s="8" t="s">
        <v>15</v>
      </c>
    </row>
    <row r="149" customFormat="false" ht="15" hidden="false" customHeight="false" outlineLevel="0" collapsed="false">
      <c r="A149" s="6"/>
      <c r="B149" s="6"/>
      <c r="C149" s="8" t="s">
        <v>17</v>
      </c>
      <c r="D149" s="9" t="n">
        <v>1</v>
      </c>
      <c r="E149" s="9" t="n">
        <v>2</v>
      </c>
      <c r="F149" s="8" t="s">
        <v>18</v>
      </c>
    </row>
    <row r="150" customFormat="false" ht="15" hidden="false" customHeight="false" outlineLevel="0" collapsed="false">
      <c r="A150" s="6"/>
      <c r="B150" s="6"/>
      <c r="C150" s="8" t="s">
        <v>19</v>
      </c>
      <c r="D150" s="9"/>
      <c r="E150" s="9" t="n">
        <v>30</v>
      </c>
      <c r="F150" s="8" t="s">
        <v>15</v>
      </c>
    </row>
    <row r="151" customFormat="false" ht="15" hidden="false" customHeight="false" outlineLevel="0" collapsed="false">
      <c r="A151" s="6"/>
      <c r="B151" s="6"/>
      <c r="C151" s="8" t="s">
        <v>20</v>
      </c>
      <c r="D151" s="9"/>
      <c r="E151" s="9" t="n">
        <v>80</v>
      </c>
      <c r="F151" s="8" t="s">
        <v>15</v>
      </c>
    </row>
    <row r="152" customFormat="false" ht="15" hidden="false" customHeight="false" outlineLevel="0" collapsed="false">
      <c r="A152" s="6"/>
      <c r="B152" s="6"/>
      <c r="C152" s="8" t="s">
        <v>21</v>
      </c>
      <c r="D152" s="9"/>
      <c r="E152" s="9" t="n">
        <v>40</v>
      </c>
      <c r="F152" s="8" t="s">
        <v>15</v>
      </c>
    </row>
    <row r="153" customFormat="false" ht="15" hidden="false" customHeight="false" outlineLevel="0" collapsed="false">
      <c r="A153" s="6"/>
      <c r="B153" s="6"/>
      <c r="C153" s="8" t="s">
        <v>22</v>
      </c>
      <c r="D153" s="9"/>
      <c r="E153" s="9" t="n">
        <v>150</v>
      </c>
      <c r="F153" s="8" t="s">
        <v>15</v>
      </c>
    </row>
    <row r="154" customFormat="false" ht="15" hidden="false" customHeight="true" outlineLevel="0" collapsed="false">
      <c r="A154" s="14" t="s">
        <v>23</v>
      </c>
      <c r="B154" s="15" t="s">
        <v>70</v>
      </c>
      <c r="C154" s="16" t="s">
        <v>31</v>
      </c>
      <c r="D154" s="17" t="n">
        <v>150</v>
      </c>
      <c r="E154" s="17" t="n">
        <v>125</v>
      </c>
      <c r="F154" s="16" t="s">
        <v>15</v>
      </c>
    </row>
    <row r="155" customFormat="false" ht="15" hidden="false" customHeight="false" outlineLevel="0" collapsed="false">
      <c r="A155" s="14"/>
      <c r="B155" s="14"/>
      <c r="C155" s="16" t="s">
        <v>32</v>
      </c>
      <c r="D155" s="17" t="n">
        <v>300</v>
      </c>
      <c r="E155" s="17" t="n">
        <v>140</v>
      </c>
      <c r="F155" s="16" t="s">
        <v>15</v>
      </c>
    </row>
    <row r="156" customFormat="false" ht="15" hidden="false" customHeight="false" outlineLevel="0" collapsed="false">
      <c r="A156" s="14"/>
      <c r="B156" s="14"/>
      <c r="C156" s="16" t="s">
        <v>27</v>
      </c>
      <c r="D156" s="17" t="n">
        <v>250</v>
      </c>
      <c r="E156" s="17" t="n">
        <v>280</v>
      </c>
      <c r="F156" s="16" t="s">
        <v>15</v>
      </c>
    </row>
    <row r="157" customFormat="false" ht="15" hidden="false" customHeight="false" outlineLevel="0" collapsed="false">
      <c r="A157" s="14"/>
      <c r="B157" s="14"/>
      <c r="C157" s="16" t="s">
        <v>28</v>
      </c>
      <c r="D157" s="17" t="n">
        <v>10</v>
      </c>
      <c r="E157" s="17" t="n">
        <v>7</v>
      </c>
      <c r="F157" s="16" t="s">
        <v>15</v>
      </c>
    </row>
    <row r="158" customFormat="false" ht="15" hidden="false" customHeight="true" outlineLevel="0" collapsed="false">
      <c r="A158" s="6" t="s">
        <v>29</v>
      </c>
      <c r="B158" s="7" t="s">
        <v>71</v>
      </c>
      <c r="C158" s="8" t="s">
        <v>25</v>
      </c>
      <c r="D158" s="9" t="n">
        <v>150</v>
      </c>
      <c r="E158" s="9" t="n">
        <v>120</v>
      </c>
      <c r="F158" s="8" t="s">
        <v>15</v>
      </c>
    </row>
    <row r="159" customFormat="false" ht="15" hidden="false" customHeight="false" outlineLevel="0" collapsed="false">
      <c r="A159" s="6"/>
      <c r="B159" s="6"/>
      <c r="C159" s="8" t="s">
        <v>72</v>
      </c>
      <c r="D159" s="9" t="n">
        <v>100</v>
      </c>
      <c r="E159" s="9" t="n">
        <v>120</v>
      </c>
      <c r="F159" s="8" t="s">
        <v>15</v>
      </c>
    </row>
    <row r="160" customFormat="false" ht="15" hidden="false" customHeight="false" outlineLevel="0" collapsed="false">
      <c r="A160" s="6"/>
      <c r="B160" s="6"/>
      <c r="C160" s="8" t="s">
        <v>33</v>
      </c>
      <c r="D160" s="9" t="n">
        <v>100</v>
      </c>
      <c r="E160" s="9" t="n">
        <v>120</v>
      </c>
      <c r="F160" s="8" t="s">
        <v>15</v>
      </c>
    </row>
    <row r="161" customFormat="false" ht="15" hidden="false" customHeight="false" outlineLevel="0" collapsed="false">
      <c r="A161" s="6"/>
      <c r="B161" s="6"/>
      <c r="C161" s="8" t="s">
        <v>34</v>
      </c>
      <c r="D161" s="9" t="n">
        <v>40</v>
      </c>
      <c r="E161" s="9" t="n">
        <v>50</v>
      </c>
      <c r="F161" s="8" t="s">
        <v>15</v>
      </c>
    </row>
    <row r="162" customFormat="false" ht="15" hidden="false" customHeight="false" outlineLevel="0" collapsed="false">
      <c r="A162" s="6"/>
      <c r="B162" s="6"/>
      <c r="C162" s="8" t="s">
        <v>20</v>
      </c>
      <c r="D162" s="9" t="n">
        <v>100</v>
      </c>
      <c r="E162" s="9" t="n">
        <v>120</v>
      </c>
      <c r="F162" s="8" t="s">
        <v>15</v>
      </c>
    </row>
    <row r="163" customFormat="false" ht="15" hidden="false" customHeight="false" outlineLevel="0" collapsed="false">
      <c r="A163" s="6"/>
      <c r="B163" s="6"/>
      <c r="C163" s="8" t="s">
        <v>35</v>
      </c>
      <c r="D163" s="9" t="n">
        <v>30</v>
      </c>
      <c r="E163" s="9" t="n">
        <v>30</v>
      </c>
      <c r="F163" s="8" t="s">
        <v>15</v>
      </c>
    </row>
    <row r="164" customFormat="false" ht="15" hidden="false" customHeight="false" outlineLevel="0" collapsed="false">
      <c r="A164" s="6"/>
      <c r="B164" s="6"/>
      <c r="C164" s="8" t="s">
        <v>26</v>
      </c>
      <c r="D164" s="9" t="n">
        <v>300</v>
      </c>
      <c r="E164" s="9" t="n">
        <v>140</v>
      </c>
      <c r="F164" s="8" t="s">
        <v>15</v>
      </c>
    </row>
    <row r="165" customFormat="false" ht="15" hidden="false" customHeight="false" outlineLevel="0" collapsed="false">
      <c r="A165" s="6"/>
      <c r="B165" s="6"/>
      <c r="C165" s="8" t="s">
        <v>28</v>
      </c>
      <c r="D165" s="9" t="n">
        <v>12</v>
      </c>
      <c r="E165" s="9" t="n">
        <v>8</v>
      </c>
      <c r="F165" s="8" t="s">
        <v>15</v>
      </c>
    </row>
    <row r="166" customFormat="false" ht="15" hidden="false" customHeight="false" outlineLevel="0" collapsed="false">
      <c r="A166" s="18" t="s">
        <v>36</v>
      </c>
      <c r="B166" s="19" t="s">
        <v>73</v>
      </c>
      <c r="C166" s="20" t="s">
        <v>73</v>
      </c>
      <c r="D166" s="21" t="n">
        <v>100</v>
      </c>
      <c r="E166" s="21" t="n">
        <v>80</v>
      </c>
      <c r="F166" s="20" t="s">
        <v>15</v>
      </c>
    </row>
    <row r="168" customFormat="false" ht="19.5" hidden="false" customHeight="true" outlineLevel="0" collapsed="false">
      <c r="A168" s="5" t="s">
        <v>74</v>
      </c>
      <c r="B168" s="5"/>
      <c r="C168" s="5"/>
      <c r="D168" s="5"/>
      <c r="E168" s="5"/>
      <c r="F168" s="5"/>
    </row>
    <row r="169" customFormat="false" ht="15" hidden="false" customHeight="true" outlineLevel="0" collapsed="false">
      <c r="A169" s="6" t="s">
        <v>10</v>
      </c>
      <c r="B169" s="7" t="s">
        <v>11</v>
      </c>
      <c r="C169" s="8" t="s">
        <v>12</v>
      </c>
      <c r="D169" s="9" t="n">
        <v>250</v>
      </c>
      <c r="E169" s="9"/>
      <c r="F169" s="8" t="s">
        <v>13</v>
      </c>
    </row>
    <row r="170" customFormat="false" ht="15" hidden="false" customHeight="false" outlineLevel="0" collapsed="false">
      <c r="A170" s="6"/>
      <c r="B170" s="6"/>
      <c r="C170" s="8" t="s">
        <v>14</v>
      </c>
      <c r="D170" s="9" t="n">
        <v>100</v>
      </c>
      <c r="E170" s="9"/>
      <c r="F170" s="8" t="s">
        <v>15</v>
      </c>
    </row>
    <row r="171" customFormat="false" ht="15" hidden="false" customHeight="false" outlineLevel="0" collapsed="false">
      <c r="A171" s="6"/>
      <c r="B171" s="6"/>
      <c r="C171" s="8" t="s">
        <v>16</v>
      </c>
      <c r="D171" s="9" t="n">
        <v>65</v>
      </c>
      <c r="E171" s="9"/>
      <c r="F171" s="8" t="s">
        <v>15</v>
      </c>
    </row>
    <row r="172" customFormat="false" ht="15" hidden="false" customHeight="false" outlineLevel="0" collapsed="false">
      <c r="A172" s="6"/>
      <c r="B172" s="6"/>
      <c r="C172" s="8" t="s">
        <v>17</v>
      </c>
      <c r="D172" s="9" t="n">
        <v>1</v>
      </c>
      <c r="E172" s="9" t="n">
        <v>2</v>
      </c>
      <c r="F172" s="8" t="s">
        <v>18</v>
      </c>
    </row>
    <row r="173" customFormat="false" ht="15" hidden="false" customHeight="false" outlineLevel="0" collapsed="false">
      <c r="A173" s="6"/>
      <c r="B173" s="6"/>
      <c r="C173" s="8" t="s">
        <v>19</v>
      </c>
      <c r="D173" s="9"/>
      <c r="E173" s="9" t="n">
        <v>30</v>
      </c>
      <c r="F173" s="8" t="s">
        <v>15</v>
      </c>
    </row>
    <row r="174" customFormat="false" ht="15" hidden="false" customHeight="false" outlineLevel="0" collapsed="false">
      <c r="A174" s="6"/>
      <c r="B174" s="6"/>
      <c r="C174" s="8" t="s">
        <v>20</v>
      </c>
      <c r="D174" s="9"/>
      <c r="E174" s="9" t="n">
        <v>80</v>
      </c>
      <c r="F174" s="8" t="s">
        <v>15</v>
      </c>
    </row>
    <row r="175" customFormat="false" ht="15" hidden="false" customHeight="false" outlineLevel="0" collapsed="false">
      <c r="A175" s="6"/>
      <c r="B175" s="6"/>
      <c r="C175" s="8" t="s">
        <v>21</v>
      </c>
      <c r="D175" s="9"/>
      <c r="E175" s="9" t="n">
        <v>40</v>
      </c>
      <c r="F175" s="8" t="s">
        <v>15</v>
      </c>
    </row>
    <row r="176" customFormat="false" ht="15" hidden="false" customHeight="false" outlineLevel="0" collapsed="false">
      <c r="A176" s="6"/>
      <c r="B176" s="6"/>
      <c r="C176" s="8" t="s">
        <v>22</v>
      </c>
      <c r="D176" s="9"/>
      <c r="E176" s="9" t="n">
        <v>150</v>
      </c>
      <c r="F176" s="8" t="s">
        <v>15</v>
      </c>
    </row>
    <row r="177" customFormat="false" ht="15" hidden="false" customHeight="true" outlineLevel="0" collapsed="false">
      <c r="A177" s="10" t="s">
        <v>23</v>
      </c>
      <c r="B177" s="11" t="s">
        <v>75</v>
      </c>
      <c r="C177" s="12" t="s">
        <v>25</v>
      </c>
      <c r="D177" s="13" t="n">
        <v>150</v>
      </c>
      <c r="E177" s="13" t="n">
        <v>120</v>
      </c>
      <c r="F177" s="12" t="s">
        <v>15</v>
      </c>
    </row>
    <row r="178" customFormat="false" ht="15" hidden="false" customHeight="false" outlineLevel="0" collapsed="false">
      <c r="A178" s="10"/>
      <c r="B178" s="10"/>
      <c r="C178" s="12" t="s">
        <v>26</v>
      </c>
      <c r="D178" s="13" t="n">
        <v>360</v>
      </c>
      <c r="E178" s="13" t="n">
        <v>170</v>
      </c>
      <c r="F178" s="12" t="s">
        <v>15</v>
      </c>
    </row>
    <row r="179" customFormat="false" ht="15" hidden="false" customHeight="false" outlineLevel="0" collapsed="false">
      <c r="A179" s="10"/>
      <c r="B179" s="10"/>
      <c r="C179" s="12" t="s">
        <v>46</v>
      </c>
      <c r="D179" s="13" t="n">
        <v>40</v>
      </c>
      <c r="E179" s="13" t="n">
        <v>60</v>
      </c>
      <c r="F179" s="12" t="s">
        <v>15</v>
      </c>
    </row>
    <row r="180" customFormat="false" ht="15" hidden="false" customHeight="false" outlineLevel="0" collapsed="false">
      <c r="A180" s="10"/>
      <c r="B180" s="10"/>
      <c r="C180" s="12" t="s">
        <v>20</v>
      </c>
      <c r="D180" s="13" t="n">
        <v>150</v>
      </c>
      <c r="E180" s="13" t="n">
        <v>180</v>
      </c>
      <c r="F180" s="12" t="s">
        <v>15</v>
      </c>
    </row>
    <row r="181" customFormat="false" ht="15" hidden="false" customHeight="false" outlineLevel="0" collapsed="false">
      <c r="A181" s="10"/>
      <c r="B181" s="10"/>
      <c r="C181" s="12" t="s">
        <v>28</v>
      </c>
      <c r="D181" s="13" t="n">
        <v>10</v>
      </c>
      <c r="E181" s="13" t="n">
        <v>7</v>
      </c>
      <c r="F181" s="12" t="s">
        <v>15</v>
      </c>
    </row>
    <row r="182" customFormat="false" ht="15" hidden="false" customHeight="true" outlineLevel="0" collapsed="false">
      <c r="A182" s="14" t="s">
        <v>29</v>
      </c>
      <c r="B182" s="15" t="s">
        <v>76</v>
      </c>
      <c r="C182" s="16" t="s">
        <v>31</v>
      </c>
      <c r="D182" s="17" t="n">
        <v>150</v>
      </c>
      <c r="E182" s="17" t="n">
        <v>125</v>
      </c>
      <c r="F182" s="16" t="s">
        <v>15</v>
      </c>
    </row>
    <row r="183" customFormat="false" ht="15" hidden="false" customHeight="false" outlineLevel="0" collapsed="false">
      <c r="A183" s="14"/>
      <c r="B183" s="14"/>
      <c r="C183" s="16" t="s">
        <v>44</v>
      </c>
      <c r="D183" s="17" t="n">
        <v>120</v>
      </c>
      <c r="E183" s="17" t="n">
        <v>150</v>
      </c>
      <c r="F183" s="16" t="s">
        <v>15</v>
      </c>
    </row>
    <row r="184" customFormat="false" ht="15" hidden="false" customHeight="false" outlineLevel="0" collapsed="false">
      <c r="A184" s="14"/>
      <c r="B184" s="14"/>
      <c r="C184" s="16" t="s">
        <v>67</v>
      </c>
      <c r="D184" s="17" t="n">
        <v>80</v>
      </c>
      <c r="E184" s="17" t="n">
        <v>100</v>
      </c>
      <c r="F184" s="16" t="s">
        <v>15</v>
      </c>
    </row>
    <row r="185" customFormat="false" ht="15" hidden="false" customHeight="false" outlineLevel="0" collapsed="false">
      <c r="A185" s="14"/>
      <c r="B185" s="14"/>
      <c r="C185" s="16" t="s">
        <v>35</v>
      </c>
      <c r="D185" s="17" t="n">
        <v>40</v>
      </c>
      <c r="E185" s="17" t="n">
        <v>40</v>
      </c>
      <c r="F185" s="16" t="s">
        <v>15</v>
      </c>
    </row>
    <row r="186" customFormat="false" ht="15" hidden="false" customHeight="false" outlineLevel="0" collapsed="false">
      <c r="A186" s="14"/>
      <c r="B186" s="14"/>
      <c r="C186" s="16" t="s">
        <v>20</v>
      </c>
      <c r="D186" s="17" t="n">
        <v>60</v>
      </c>
      <c r="E186" s="17" t="n">
        <v>60</v>
      </c>
      <c r="F186" s="16" t="s">
        <v>15</v>
      </c>
    </row>
    <row r="187" customFormat="false" ht="15" hidden="false" customHeight="false" outlineLevel="0" collapsed="false">
      <c r="A187" s="14"/>
      <c r="B187" s="14"/>
      <c r="C187" s="16" t="s">
        <v>26</v>
      </c>
      <c r="D187" s="17" t="n">
        <v>300</v>
      </c>
      <c r="E187" s="17" t="n">
        <v>140</v>
      </c>
      <c r="F187" s="16" t="s">
        <v>15</v>
      </c>
    </row>
    <row r="188" customFormat="false" ht="15" hidden="false" customHeight="false" outlineLevel="0" collapsed="false">
      <c r="A188" s="14"/>
      <c r="B188" s="14"/>
      <c r="C188" s="16" t="s">
        <v>28</v>
      </c>
      <c r="D188" s="17" t="n">
        <v>8</v>
      </c>
      <c r="E188" s="17" t="n">
        <v>6</v>
      </c>
      <c r="F188" s="16" t="s">
        <v>15</v>
      </c>
    </row>
    <row r="189" customFormat="false" ht="15" hidden="false" customHeight="true" outlineLevel="0" collapsed="false">
      <c r="A189" s="18" t="s">
        <v>36</v>
      </c>
      <c r="B189" s="19" t="s">
        <v>37</v>
      </c>
      <c r="C189" s="20" t="s">
        <v>38</v>
      </c>
      <c r="D189" s="21" t="n">
        <v>125</v>
      </c>
      <c r="E189" s="21" t="n">
        <v>125</v>
      </c>
      <c r="F189" s="20" t="s">
        <v>15</v>
      </c>
    </row>
    <row r="190" customFormat="false" ht="15" hidden="false" customHeight="false" outlineLevel="0" collapsed="false">
      <c r="A190" s="18"/>
      <c r="B190" s="18"/>
      <c r="C190" s="20" t="s">
        <v>39</v>
      </c>
      <c r="D190" s="21" t="n">
        <v>10</v>
      </c>
      <c r="E190" s="21" t="n">
        <v>10</v>
      </c>
      <c r="F190" s="20" t="s">
        <v>15</v>
      </c>
    </row>
    <row r="192" customFormat="false" ht="19.5" hidden="false" customHeight="true" outlineLevel="0" collapsed="false">
      <c r="A192" s="5" t="s">
        <v>77</v>
      </c>
      <c r="B192" s="5"/>
      <c r="C192" s="5"/>
      <c r="D192" s="5"/>
      <c r="E192" s="5"/>
      <c r="F192" s="5"/>
    </row>
    <row r="193" customFormat="false" ht="15" hidden="false" customHeight="true" outlineLevel="0" collapsed="false">
      <c r="A193" s="6" t="s">
        <v>10</v>
      </c>
      <c r="B193" s="7" t="s">
        <v>11</v>
      </c>
      <c r="C193" s="8" t="s">
        <v>12</v>
      </c>
      <c r="D193" s="9" t="n">
        <v>250</v>
      </c>
      <c r="E193" s="9"/>
      <c r="F193" s="8" t="s">
        <v>13</v>
      </c>
    </row>
    <row r="194" customFormat="false" ht="15" hidden="false" customHeight="false" outlineLevel="0" collapsed="false">
      <c r="A194" s="6"/>
      <c r="B194" s="6"/>
      <c r="C194" s="8" t="s">
        <v>14</v>
      </c>
      <c r="D194" s="9" t="n">
        <v>100</v>
      </c>
      <c r="E194" s="9"/>
      <c r="F194" s="8" t="s">
        <v>15</v>
      </c>
    </row>
    <row r="195" customFormat="false" ht="15" hidden="false" customHeight="false" outlineLevel="0" collapsed="false">
      <c r="A195" s="6"/>
      <c r="B195" s="6"/>
      <c r="C195" s="8" t="s">
        <v>16</v>
      </c>
      <c r="D195" s="9" t="n">
        <v>65</v>
      </c>
      <c r="E195" s="9"/>
      <c r="F195" s="8" t="s">
        <v>15</v>
      </c>
    </row>
    <row r="196" customFormat="false" ht="15" hidden="false" customHeight="false" outlineLevel="0" collapsed="false">
      <c r="A196" s="6"/>
      <c r="B196" s="6"/>
      <c r="C196" s="8" t="s">
        <v>17</v>
      </c>
      <c r="D196" s="9" t="n">
        <v>1</v>
      </c>
      <c r="E196" s="9" t="n">
        <v>2</v>
      </c>
      <c r="F196" s="8" t="s">
        <v>18</v>
      </c>
    </row>
    <row r="197" customFormat="false" ht="15" hidden="false" customHeight="false" outlineLevel="0" collapsed="false">
      <c r="A197" s="6"/>
      <c r="B197" s="6"/>
      <c r="C197" s="8" t="s">
        <v>19</v>
      </c>
      <c r="D197" s="9"/>
      <c r="E197" s="9" t="n">
        <v>30</v>
      </c>
      <c r="F197" s="8" t="s">
        <v>15</v>
      </c>
    </row>
    <row r="198" customFormat="false" ht="15" hidden="false" customHeight="false" outlineLevel="0" collapsed="false">
      <c r="A198" s="6"/>
      <c r="B198" s="6"/>
      <c r="C198" s="8" t="s">
        <v>20</v>
      </c>
      <c r="D198" s="9"/>
      <c r="E198" s="9" t="n">
        <v>80</v>
      </c>
      <c r="F198" s="8" t="s">
        <v>15</v>
      </c>
    </row>
    <row r="199" customFormat="false" ht="15" hidden="false" customHeight="false" outlineLevel="0" collapsed="false">
      <c r="A199" s="6"/>
      <c r="B199" s="6"/>
      <c r="C199" s="8" t="s">
        <v>21</v>
      </c>
      <c r="D199" s="9"/>
      <c r="E199" s="9" t="n">
        <v>40</v>
      </c>
      <c r="F199" s="8" t="s">
        <v>15</v>
      </c>
    </row>
    <row r="200" customFormat="false" ht="15" hidden="false" customHeight="false" outlineLevel="0" collapsed="false">
      <c r="A200" s="6"/>
      <c r="B200" s="6"/>
      <c r="C200" s="8" t="s">
        <v>22</v>
      </c>
      <c r="D200" s="9"/>
      <c r="E200" s="9" t="n">
        <v>150</v>
      </c>
      <c r="F200" s="8" t="s">
        <v>15</v>
      </c>
    </row>
    <row r="201" customFormat="false" ht="15" hidden="false" customHeight="true" outlineLevel="0" collapsed="false">
      <c r="A201" s="10" t="s">
        <v>23</v>
      </c>
      <c r="B201" s="11" t="s">
        <v>78</v>
      </c>
      <c r="C201" s="12" t="s">
        <v>25</v>
      </c>
      <c r="D201" s="13" t="n">
        <v>100</v>
      </c>
      <c r="E201" s="13" t="n">
        <v>80</v>
      </c>
      <c r="F201" s="12" t="s">
        <v>15</v>
      </c>
    </row>
    <row r="202" customFormat="false" ht="15" hidden="false" customHeight="false" outlineLevel="0" collapsed="false">
      <c r="A202" s="10"/>
      <c r="B202" s="10"/>
      <c r="C202" s="12" t="s">
        <v>42</v>
      </c>
      <c r="D202" s="13" t="n">
        <v>140</v>
      </c>
      <c r="E202" s="13" t="n">
        <v>120</v>
      </c>
      <c r="F202" s="12" t="s">
        <v>15</v>
      </c>
    </row>
    <row r="203" customFormat="false" ht="15" hidden="false" customHeight="false" outlineLevel="0" collapsed="false">
      <c r="A203" s="10"/>
      <c r="B203" s="10"/>
      <c r="C203" s="12" t="s">
        <v>43</v>
      </c>
      <c r="D203" s="13" t="n">
        <v>50</v>
      </c>
      <c r="E203" s="13" t="n">
        <v>20</v>
      </c>
      <c r="F203" s="12" t="s">
        <v>15</v>
      </c>
    </row>
    <row r="204" customFormat="false" ht="15" hidden="false" customHeight="false" outlineLevel="0" collapsed="false">
      <c r="A204" s="10"/>
      <c r="B204" s="10"/>
      <c r="C204" s="12" t="s">
        <v>20</v>
      </c>
      <c r="D204" s="13" t="n">
        <v>150</v>
      </c>
      <c r="E204" s="13" t="n">
        <v>180</v>
      </c>
      <c r="F204" s="12" t="s">
        <v>15</v>
      </c>
    </row>
    <row r="205" customFormat="false" ht="15" hidden="false" customHeight="false" outlineLevel="0" collapsed="false">
      <c r="A205" s="10"/>
      <c r="B205" s="10"/>
      <c r="C205" s="12" t="s">
        <v>35</v>
      </c>
      <c r="D205" s="13" t="n">
        <v>40</v>
      </c>
      <c r="E205" s="13" t="n">
        <v>40</v>
      </c>
      <c r="F205" s="12" t="s">
        <v>15</v>
      </c>
    </row>
    <row r="206" customFormat="false" ht="15" hidden="false" customHeight="false" outlineLevel="0" collapsed="false">
      <c r="A206" s="10"/>
      <c r="B206" s="10"/>
      <c r="C206" s="12" t="s">
        <v>27</v>
      </c>
      <c r="D206" s="13" t="n">
        <v>150</v>
      </c>
      <c r="E206" s="13" t="n">
        <v>200</v>
      </c>
      <c r="F206" s="12" t="s">
        <v>15</v>
      </c>
    </row>
    <row r="207" customFormat="false" ht="15" hidden="false" customHeight="false" outlineLevel="0" collapsed="false">
      <c r="A207" s="10"/>
      <c r="B207" s="10"/>
      <c r="C207" s="12" t="s">
        <v>28</v>
      </c>
      <c r="D207" s="13" t="n">
        <v>10</v>
      </c>
      <c r="E207" s="13" t="n">
        <v>7</v>
      </c>
      <c r="F207" s="12" t="s">
        <v>15</v>
      </c>
    </row>
    <row r="208" customFormat="false" ht="15" hidden="false" customHeight="true" outlineLevel="0" collapsed="false">
      <c r="A208" s="6" t="s">
        <v>29</v>
      </c>
      <c r="B208" s="7" t="s">
        <v>79</v>
      </c>
      <c r="C208" s="8" t="s">
        <v>17</v>
      </c>
      <c r="D208" s="9" t="n">
        <v>2</v>
      </c>
      <c r="E208" s="9" t="n">
        <v>2</v>
      </c>
      <c r="F208" s="8" t="s">
        <v>18</v>
      </c>
    </row>
    <row r="209" customFormat="false" ht="15" hidden="false" customHeight="false" outlineLevel="0" collapsed="false">
      <c r="A209" s="6"/>
      <c r="B209" s="6"/>
      <c r="C209" s="8" t="s">
        <v>80</v>
      </c>
      <c r="D209" s="9" t="n">
        <v>60</v>
      </c>
      <c r="E209" s="9" t="n">
        <v>40</v>
      </c>
      <c r="F209" s="8" t="s">
        <v>15</v>
      </c>
    </row>
    <row r="210" customFormat="false" ht="15" hidden="false" customHeight="false" outlineLevel="0" collapsed="false">
      <c r="A210" s="6"/>
      <c r="B210" s="6"/>
      <c r="C210" s="8" t="s">
        <v>12</v>
      </c>
      <c r="D210" s="9" t="n">
        <v>100</v>
      </c>
      <c r="E210" s="9" t="n">
        <v>100</v>
      </c>
      <c r="F210" s="8" t="s">
        <v>13</v>
      </c>
    </row>
    <row r="211" customFormat="false" ht="15" hidden="false" customHeight="false" outlineLevel="0" collapsed="false">
      <c r="A211" s="6"/>
      <c r="B211" s="6"/>
      <c r="C211" s="8" t="s">
        <v>81</v>
      </c>
      <c r="D211" s="9" t="n">
        <v>60</v>
      </c>
      <c r="E211" s="9" t="n">
        <v>35</v>
      </c>
      <c r="F211" s="8" t="s">
        <v>15</v>
      </c>
    </row>
    <row r="212" customFormat="false" ht="15" hidden="false" customHeight="false" outlineLevel="0" collapsed="false">
      <c r="A212" s="6"/>
      <c r="B212" s="6"/>
      <c r="C212" s="8" t="s">
        <v>28</v>
      </c>
      <c r="D212" s="9" t="n">
        <v>12</v>
      </c>
      <c r="E212" s="9" t="n">
        <v>7</v>
      </c>
      <c r="F212" s="8" t="s">
        <v>15</v>
      </c>
    </row>
    <row r="213" customFormat="false" ht="15" hidden="false" customHeight="false" outlineLevel="0" collapsed="false">
      <c r="A213" s="6"/>
      <c r="B213" s="6"/>
      <c r="C213" s="8" t="s">
        <v>33</v>
      </c>
      <c r="D213" s="9" t="n">
        <v>150</v>
      </c>
      <c r="E213" s="9" t="n">
        <v>150</v>
      </c>
      <c r="F213" s="8" t="s">
        <v>15</v>
      </c>
    </row>
    <row r="214" customFormat="false" ht="15" hidden="false" customHeight="false" outlineLevel="0" collapsed="false">
      <c r="A214" s="6"/>
      <c r="B214" s="6"/>
      <c r="C214" s="8" t="s">
        <v>35</v>
      </c>
      <c r="D214" s="9" t="n">
        <v>20</v>
      </c>
      <c r="E214" s="9" t="n">
        <v>20</v>
      </c>
      <c r="F214" s="8" t="s">
        <v>15</v>
      </c>
    </row>
    <row r="215" customFormat="false" ht="15" hidden="false" customHeight="false" outlineLevel="0" collapsed="false">
      <c r="A215" s="6"/>
      <c r="B215" s="6"/>
      <c r="C215" s="8" t="s">
        <v>46</v>
      </c>
      <c r="D215" s="9" t="n">
        <v>40</v>
      </c>
      <c r="E215" s="9" t="n">
        <v>60</v>
      </c>
      <c r="F215" s="8" t="s">
        <v>15</v>
      </c>
    </row>
    <row r="216" customFormat="false" ht="15" hidden="false" customHeight="false" outlineLevel="0" collapsed="false">
      <c r="A216" s="6"/>
      <c r="B216" s="6"/>
      <c r="C216" s="8" t="s">
        <v>20</v>
      </c>
      <c r="D216" s="9" t="n">
        <v>100</v>
      </c>
      <c r="E216" s="9" t="n">
        <v>130</v>
      </c>
      <c r="F216" s="8" t="s">
        <v>15</v>
      </c>
    </row>
    <row r="217" customFormat="false" ht="15" hidden="false" customHeight="false" outlineLevel="0" collapsed="false">
      <c r="A217" s="18" t="s">
        <v>36</v>
      </c>
      <c r="B217" s="19" t="s">
        <v>47</v>
      </c>
      <c r="C217" s="20" t="s">
        <v>47</v>
      </c>
      <c r="D217" s="21" t="n">
        <v>110</v>
      </c>
      <c r="E217" s="21" t="n">
        <v>90</v>
      </c>
      <c r="F217" s="20" t="s">
        <v>15</v>
      </c>
    </row>
    <row r="219" customFormat="false" ht="19.5" hidden="false" customHeight="true" outlineLevel="0" collapsed="false">
      <c r="A219" s="5" t="s">
        <v>82</v>
      </c>
      <c r="B219" s="5"/>
      <c r="C219" s="5"/>
      <c r="D219" s="5"/>
      <c r="E219" s="5"/>
      <c r="F219" s="5"/>
    </row>
    <row r="220" customFormat="false" ht="15" hidden="false" customHeight="true" outlineLevel="0" collapsed="false">
      <c r="A220" s="6" t="s">
        <v>10</v>
      </c>
      <c r="B220" s="7" t="s">
        <v>11</v>
      </c>
      <c r="C220" s="8" t="s">
        <v>12</v>
      </c>
      <c r="D220" s="9" t="n">
        <v>250</v>
      </c>
      <c r="E220" s="9"/>
      <c r="F220" s="8" t="s">
        <v>13</v>
      </c>
    </row>
    <row r="221" customFormat="false" ht="15" hidden="false" customHeight="false" outlineLevel="0" collapsed="false">
      <c r="A221" s="6"/>
      <c r="B221" s="6"/>
      <c r="C221" s="8" t="s">
        <v>14</v>
      </c>
      <c r="D221" s="9" t="n">
        <v>100</v>
      </c>
      <c r="E221" s="9"/>
      <c r="F221" s="8" t="s">
        <v>15</v>
      </c>
    </row>
    <row r="222" customFormat="false" ht="15" hidden="false" customHeight="false" outlineLevel="0" collapsed="false">
      <c r="A222" s="6"/>
      <c r="B222" s="6"/>
      <c r="C222" s="8" t="s">
        <v>16</v>
      </c>
      <c r="D222" s="9" t="n">
        <v>65</v>
      </c>
      <c r="E222" s="9"/>
      <c r="F222" s="8" t="s">
        <v>15</v>
      </c>
    </row>
    <row r="223" customFormat="false" ht="15" hidden="false" customHeight="false" outlineLevel="0" collapsed="false">
      <c r="A223" s="6"/>
      <c r="B223" s="6"/>
      <c r="C223" s="8" t="s">
        <v>17</v>
      </c>
      <c r="D223" s="9" t="n">
        <v>1</v>
      </c>
      <c r="E223" s="9" t="n">
        <v>2</v>
      </c>
      <c r="F223" s="8" t="s">
        <v>18</v>
      </c>
    </row>
    <row r="224" customFormat="false" ht="15" hidden="false" customHeight="false" outlineLevel="0" collapsed="false">
      <c r="A224" s="6"/>
      <c r="B224" s="6"/>
      <c r="C224" s="8" t="s">
        <v>19</v>
      </c>
      <c r="D224" s="9"/>
      <c r="E224" s="9" t="n">
        <v>30</v>
      </c>
      <c r="F224" s="8" t="s">
        <v>15</v>
      </c>
    </row>
    <row r="225" customFormat="false" ht="15" hidden="false" customHeight="false" outlineLevel="0" collapsed="false">
      <c r="A225" s="6"/>
      <c r="B225" s="6"/>
      <c r="C225" s="8" t="s">
        <v>20</v>
      </c>
      <c r="D225" s="9"/>
      <c r="E225" s="9" t="n">
        <v>80</v>
      </c>
      <c r="F225" s="8" t="s">
        <v>15</v>
      </c>
    </row>
    <row r="226" customFormat="false" ht="15" hidden="false" customHeight="false" outlineLevel="0" collapsed="false">
      <c r="A226" s="6"/>
      <c r="B226" s="6"/>
      <c r="C226" s="8" t="s">
        <v>21</v>
      </c>
      <c r="D226" s="9"/>
      <c r="E226" s="9" t="n">
        <v>40</v>
      </c>
      <c r="F226" s="8" t="s">
        <v>15</v>
      </c>
    </row>
    <row r="227" customFormat="false" ht="15" hidden="false" customHeight="false" outlineLevel="0" collapsed="false">
      <c r="A227" s="6"/>
      <c r="B227" s="6"/>
      <c r="C227" s="8" t="s">
        <v>22</v>
      </c>
      <c r="D227" s="9"/>
      <c r="E227" s="9" t="n">
        <v>150</v>
      </c>
      <c r="F227" s="8" t="s">
        <v>15</v>
      </c>
    </row>
    <row r="228" customFormat="false" ht="15" hidden="false" customHeight="true" outlineLevel="0" collapsed="false">
      <c r="A228" s="10" t="s">
        <v>23</v>
      </c>
      <c r="B228" s="11" t="s">
        <v>83</v>
      </c>
      <c r="C228" s="12" t="s">
        <v>51</v>
      </c>
      <c r="D228" s="13" t="n">
        <v>110</v>
      </c>
      <c r="E228" s="13" t="n">
        <v>85</v>
      </c>
      <c r="F228" s="12" t="s">
        <v>15</v>
      </c>
    </row>
    <row r="229" customFormat="false" ht="15" hidden="false" customHeight="false" outlineLevel="0" collapsed="false">
      <c r="A229" s="10"/>
      <c r="B229" s="10"/>
      <c r="C229" s="12" t="s">
        <v>84</v>
      </c>
      <c r="D229" s="13" t="n">
        <v>65</v>
      </c>
      <c r="E229" s="13" t="n">
        <v>45</v>
      </c>
      <c r="F229" s="12" t="s">
        <v>15</v>
      </c>
    </row>
    <row r="230" customFormat="false" ht="15" hidden="false" customHeight="false" outlineLevel="0" collapsed="false">
      <c r="A230" s="10"/>
      <c r="B230" s="10"/>
      <c r="C230" s="12" t="s">
        <v>33</v>
      </c>
      <c r="D230" s="13" t="n">
        <v>100</v>
      </c>
      <c r="E230" s="13" t="n">
        <v>120</v>
      </c>
      <c r="F230" s="12" t="s">
        <v>15</v>
      </c>
    </row>
    <row r="231" customFormat="false" ht="15" hidden="false" customHeight="false" outlineLevel="0" collapsed="false">
      <c r="A231" s="10"/>
      <c r="B231" s="10"/>
      <c r="C231" s="12" t="s">
        <v>20</v>
      </c>
      <c r="D231" s="13" t="n">
        <v>150</v>
      </c>
      <c r="E231" s="13" t="n">
        <v>150</v>
      </c>
      <c r="F231" s="12" t="s">
        <v>15</v>
      </c>
    </row>
    <row r="232" customFormat="false" ht="15" hidden="false" customHeight="false" outlineLevel="0" collapsed="false">
      <c r="A232" s="10"/>
      <c r="B232" s="10"/>
      <c r="C232" s="12" t="s">
        <v>35</v>
      </c>
      <c r="D232" s="13" t="n">
        <v>20</v>
      </c>
      <c r="E232" s="13" t="n">
        <v>20</v>
      </c>
      <c r="F232" s="12" t="s">
        <v>15</v>
      </c>
    </row>
    <row r="233" customFormat="false" ht="15" hidden="false" customHeight="false" outlineLevel="0" collapsed="false">
      <c r="A233" s="10"/>
      <c r="B233" s="10"/>
      <c r="C233" s="12" t="s">
        <v>85</v>
      </c>
      <c r="D233" s="13" t="n">
        <v>30</v>
      </c>
      <c r="E233" s="13" t="n">
        <v>25</v>
      </c>
      <c r="F233" s="12" t="s">
        <v>15</v>
      </c>
    </row>
    <row r="234" customFormat="false" ht="15" hidden="false" customHeight="false" outlineLevel="0" collapsed="false">
      <c r="A234" s="10"/>
      <c r="B234" s="10"/>
      <c r="C234" s="12" t="s">
        <v>12</v>
      </c>
      <c r="D234" s="13" t="n">
        <v>80</v>
      </c>
      <c r="E234" s="13" t="n">
        <v>60</v>
      </c>
      <c r="F234" s="12" t="s">
        <v>13</v>
      </c>
    </row>
    <row r="235" customFormat="false" ht="15" hidden="false" customHeight="false" outlineLevel="0" collapsed="false">
      <c r="A235" s="10"/>
      <c r="B235" s="10"/>
      <c r="C235" s="12" t="s">
        <v>81</v>
      </c>
      <c r="D235" s="13" t="n">
        <v>8</v>
      </c>
      <c r="E235" s="13" t="n">
        <v>6</v>
      </c>
      <c r="F235" s="12" t="s">
        <v>15</v>
      </c>
    </row>
    <row r="236" customFormat="false" ht="15" hidden="false" customHeight="false" outlineLevel="0" collapsed="false">
      <c r="A236" s="10"/>
      <c r="B236" s="10"/>
      <c r="C236" s="12" t="s">
        <v>28</v>
      </c>
      <c r="D236" s="13" t="n">
        <v>8</v>
      </c>
      <c r="E236" s="13" t="n">
        <v>6</v>
      </c>
      <c r="F236" s="12" t="s">
        <v>15</v>
      </c>
    </row>
    <row r="237" customFormat="false" ht="15" hidden="false" customHeight="false" outlineLevel="0" collapsed="false">
      <c r="A237" s="10"/>
      <c r="B237" s="10"/>
      <c r="C237" s="12" t="s">
        <v>46</v>
      </c>
      <c r="D237" s="13" t="n">
        <v>40</v>
      </c>
      <c r="E237" s="13" t="n">
        <v>60</v>
      </c>
      <c r="F237" s="12" t="s">
        <v>15</v>
      </c>
    </row>
    <row r="238" customFormat="false" ht="15" hidden="false" customHeight="true" outlineLevel="0" collapsed="false">
      <c r="A238" s="6" t="s">
        <v>29</v>
      </c>
      <c r="B238" s="7" t="s">
        <v>86</v>
      </c>
      <c r="C238" s="8" t="s">
        <v>42</v>
      </c>
      <c r="D238" s="9" t="n">
        <v>150</v>
      </c>
      <c r="E238" s="9" t="n">
        <v>120</v>
      </c>
      <c r="F238" s="8" t="s">
        <v>15</v>
      </c>
    </row>
    <row r="239" customFormat="false" ht="15" hidden="false" customHeight="false" outlineLevel="0" collapsed="false">
      <c r="A239" s="6"/>
      <c r="B239" s="6"/>
      <c r="C239" s="8" t="s">
        <v>17</v>
      </c>
      <c r="D239" s="9" t="n">
        <v>2</v>
      </c>
      <c r="E239" s="9" t="n">
        <v>2</v>
      </c>
      <c r="F239" s="8" t="s">
        <v>18</v>
      </c>
    </row>
    <row r="240" customFormat="false" ht="15" hidden="false" customHeight="false" outlineLevel="0" collapsed="false">
      <c r="A240" s="6"/>
      <c r="B240" s="6"/>
      <c r="C240" s="8" t="s">
        <v>44</v>
      </c>
      <c r="D240" s="9" t="n">
        <v>80</v>
      </c>
      <c r="E240" s="9" t="n">
        <v>100</v>
      </c>
      <c r="F240" s="8" t="s">
        <v>15</v>
      </c>
    </row>
    <row r="241" customFormat="false" ht="15" hidden="false" customHeight="false" outlineLevel="0" collapsed="false">
      <c r="A241" s="6"/>
      <c r="B241" s="6"/>
      <c r="C241" s="8" t="s">
        <v>20</v>
      </c>
      <c r="D241" s="9" t="n">
        <v>150</v>
      </c>
      <c r="E241" s="9" t="n">
        <v>180</v>
      </c>
      <c r="F241" s="8" t="s">
        <v>15</v>
      </c>
    </row>
    <row r="242" customFormat="false" ht="15" hidden="false" customHeight="false" outlineLevel="0" collapsed="false">
      <c r="A242" s="6"/>
      <c r="B242" s="6"/>
      <c r="C242" s="8" t="s">
        <v>35</v>
      </c>
      <c r="D242" s="9" t="n">
        <v>30</v>
      </c>
      <c r="E242" s="9" t="n">
        <v>30</v>
      </c>
      <c r="F242" s="8" t="s">
        <v>15</v>
      </c>
    </row>
    <row r="243" customFormat="false" ht="15" hidden="false" customHeight="false" outlineLevel="0" collapsed="false">
      <c r="A243" s="6"/>
      <c r="B243" s="6"/>
      <c r="C243" s="8" t="s">
        <v>26</v>
      </c>
      <c r="D243" s="9" t="n">
        <v>240</v>
      </c>
      <c r="E243" s="9" t="n">
        <v>90</v>
      </c>
      <c r="F243" s="8" t="s">
        <v>15</v>
      </c>
    </row>
    <row r="244" customFormat="false" ht="15" hidden="false" customHeight="false" outlineLevel="0" collapsed="false">
      <c r="A244" s="6"/>
      <c r="B244" s="6"/>
      <c r="C244" s="8" t="s">
        <v>28</v>
      </c>
      <c r="D244" s="9" t="n">
        <v>10</v>
      </c>
      <c r="E244" s="9" t="n">
        <v>7</v>
      </c>
      <c r="F244" s="8" t="s">
        <v>15</v>
      </c>
    </row>
    <row r="245" customFormat="false" ht="15" hidden="false" customHeight="false" outlineLevel="0" collapsed="false">
      <c r="A245" s="18" t="s">
        <v>36</v>
      </c>
      <c r="B245" s="19" t="s">
        <v>47</v>
      </c>
      <c r="C245" s="20" t="s">
        <v>47</v>
      </c>
      <c r="D245" s="21" t="n">
        <v>110</v>
      </c>
      <c r="E245" s="21" t="n">
        <v>90</v>
      </c>
      <c r="F245" s="20" t="s">
        <v>15</v>
      </c>
    </row>
    <row r="247" customFormat="false" ht="19.5" hidden="false" customHeight="true" outlineLevel="0" collapsed="false">
      <c r="A247" s="5" t="s">
        <v>87</v>
      </c>
      <c r="B247" s="5"/>
      <c r="C247" s="5"/>
      <c r="D247" s="5"/>
      <c r="E247" s="5"/>
      <c r="F247" s="5"/>
    </row>
    <row r="248" customFormat="false" ht="15" hidden="false" customHeight="true" outlineLevel="0" collapsed="false">
      <c r="A248" s="6" t="s">
        <v>10</v>
      </c>
      <c r="B248" s="7" t="s">
        <v>11</v>
      </c>
      <c r="C248" s="8" t="s">
        <v>12</v>
      </c>
      <c r="D248" s="9" t="n">
        <v>250</v>
      </c>
      <c r="E248" s="9"/>
      <c r="F248" s="8" t="s">
        <v>13</v>
      </c>
    </row>
    <row r="249" customFormat="false" ht="15" hidden="false" customHeight="false" outlineLevel="0" collapsed="false">
      <c r="A249" s="6"/>
      <c r="B249" s="6"/>
      <c r="C249" s="8" t="s">
        <v>14</v>
      </c>
      <c r="D249" s="9" t="n">
        <v>100</v>
      </c>
      <c r="E249" s="9"/>
      <c r="F249" s="8" t="s">
        <v>15</v>
      </c>
    </row>
    <row r="250" customFormat="false" ht="15" hidden="false" customHeight="false" outlineLevel="0" collapsed="false">
      <c r="A250" s="6"/>
      <c r="B250" s="6"/>
      <c r="C250" s="8" t="s">
        <v>16</v>
      </c>
      <c r="D250" s="9" t="n">
        <v>65</v>
      </c>
      <c r="E250" s="9"/>
      <c r="F250" s="8" t="s">
        <v>15</v>
      </c>
    </row>
    <row r="251" customFormat="false" ht="15" hidden="false" customHeight="false" outlineLevel="0" collapsed="false">
      <c r="A251" s="6"/>
      <c r="B251" s="6"/>
      <c r="C251" s="8" t="s">
        <v>17</v>
      </c>
      <c r="D251" s="9" t="n">
        <v>1</v>
      </c>
      <c r="E251" s="9" t="n">
        <v>2</v>
      </c>
      <c r="F251" s="8" t="s">
        <v>18</v>
      </c>
    </row>
    <row r="252" customFormat="false" ht="15" hidden="false" customHeight="false" outlineLevel="0" collapsed="false">
      <c r="A252" s="6"/>
      <c r="B252" s="6"/>
      <c r="C252" s="8" t="s">
        <v>19</v>
      </c>
      <c r="D252" s="9"/>
      <c r="E252" s="9" t="n">
        <v>30</v>
      </c>
      <c r="F252" s="8" t="s">
        <v>15</v>
      </c>
    </row>
    <row r="253" customFormat="false" ht="15" hidden="false" customHeight="false" outlineLevel="0" collapsed="false">
      <c r="A253" s="6"/>
      <c r="B253" s="6"/>
      <c r="C253" s="8" t="s">
        <v>20</v>
      </c>
      <c r="D253" s="9"/>
      <c r="E253" s="9" t="n">
        <v>80</v>
      </c>
      <c r="F253" s="8" t="s">
        <v>15</v>
      </c>
    </row>
    <row r="254" customFormat="false" ht="15" hidden="false" customHeight="false" outlineLevel="0" collapsed="false">
      <c r="A254" s="6"/>
      <c r="B254" s="6"/>
      <c r="C254" s="8" t="s">
        <v>21</v>
      </c>
      <c r="D254" s="9"/>
      <c r="E254" s="9" t="n">
        <v>40</v>
      </c>
      <c r="F254" s="8" t="s">
        <v>15</v>
      </c>
    </row>
    <row r="255" customFormat="false" ht="15" hidden="false" customHeight="false" outlineLevel="0" collapsed="false">
      <c r="A255" s="6"/>
      <c r="B255" s="6"/>
      <c r="C255" s="8" t="s">
        <v>22</v>
      </c>
      <c r="D255" s="9"/>
      <c r="E255" s="9" t="n">
        <v>150</v>
      </c>
      <c r="F255" s="8" t="s">
        <v>15</v>
      </c>
    </row>
    <row r="256" customFormat="false" ht="15" hidden="false" customHeight="true" outlineLevel="0" collapsed="false">
      <c r="A256" s="22" t="s">
        <v>23</v>
      </c>
      <c r="B256" s="23" t="s">
        <v>88</v>
      </c>
      <c r="C256" s="24" t="s">
        <v>81</v>
      </c>
      <c r="D256" s="25" t="n">
        <v>100</v>
      </c>
      <c r="E256" s="25" t="n">
        <v>65</v>
      </c>
      <c r="F256" s="24" t="s">
        <v>15</v>
      </c>
    </row>
    <row r="257" customFormat="false" ht="15" hidden="false" customHeight="false" outlineLevel="0" collapsed="false">
      <c r="A257" s="22"/>
      <c r="B257" s="22"/>
      <c r="C257" s="24" t="s">
        <v>28</v>
      </c>
      <c r="D257" s="25" t="n">
        <v>10</v>
      </c>
      <c r="E257" s="25" t="n">
        <v>7</v>
      </c>
      <c r="F257" s="24" t="s">
        <v>15</v>
      </c>
    </row>
    <row r="258" customFormat="false" ht="15" hidden="false" customHeight="false" outlineLevel="0" collapsed="false">
      <c r="A258" s="22"/>
      <c r="B258" s="22"/>
      <c r="C258" s="24" t="s">
        <v>51</v>
      </c>
      <c r="D258" s="25" t="n">
        <v>90</v>
      </c>
      <c r="E258" s="25" t="n">
        <v>70</v>
      </c>
      <c r="F258" s="24" t="s">
        <v>15</v>
      </c>
    </row>
    <row r="259" customFormat="false" ht="15" hidden="false" customHeight="false" outlineLevel="0" collapsed="false">
      <c r="A259" s="22"/>
      <c r="B259" s="22"/>
      <c r="C259" s="24" t="s">
        <v>85</v>
      </c>
      <c r="D259" s="25" t="n">
        <v>50</v>
      </c>
      <c r="E259" s="25" t="n">
        <v>35</v>
      </c>
      <c r="F259" s="24" t="s">
        <v>15</v>
      </c>
    </row>
    <row r="260" customFormat="false" ht="15" hidden="false" customHeight="false" outlineLevel="0" collapsed="false">
      <c r="A260" s="22"/>
      <c r="B260" s="22"/>
      <c r="C260" s="24" t="s">
        <v>20</v>
      </c>
      <c r="D260" s="25" t="n">
        <v>160</v>
      </c>
      <c r="E260" s="25" t="n">
        <v>180</v>
      </c>
      <c r="F260" s="24" t="s">
        <v>15</v>
      </c>
    </row>
    <row r="261" customFormat="false" ht="15" hidden="false" customHeight="false" outlineLevel="0" collapsed="false">
      <c r="A261" s="22"/>
      <c r="B261" s="22"/>
      <c r="C261" s="24" t="s">
        <v>34</v>
      </c>
      <c r="D261" s="25" t="n">
        <v>50</v>
      </c>
      <c r="E261" s="25" t="n">
        <v>60</v>
      </c>
      <c r="F261" s="24" t="s">
        <v>15</v>
      </c>
    </row>
    <row r="262" customFormat="false" ht="15" hidden="false" customHeight="false" outlineLevel="0" collapsed="false">
      <c r="A262" s="22"/>
      <c r="B262" s="22"/>
      <c r="C262" s="24" t="s">
        <v>67</v>
      </c>
      <c r="D262" s="25" t="n">
        <v>50</v>
      </c>
      <c r="E262" s="25" t="n">
        <v>50</v>
      </c>
      <c r="F262" s="24" t="s">
        <v>15</v>
      </c>
    </row>
    <row r="263" customFormat="false" ht="15" hidden="false" customHeight="false" outlineLevel="0" collapsed="false">
      <c r="A263" s="22"/>
      <c r="B263" s="22"/>
      <c r="C263" s="24" t="s">
        <v>35</v>
      </c>
      <c r="D263" s="25" t="n">
        <v>20</v>
      </c>
      <c r="E263" s="25" t="n">
        <v>20</v>
      </c>
      <c r="F263" s="24" t="s">
        <v>15</v>
      </c>
    </row>
    <row r="264" customFormat="false" ht="15" hidden="false" customHeight="false" outlineLevel="0" collapsed="false">
      <c r="A264" s="22"/>
      <c r="B264" s="22"/>
      <c r="C264" s="24" t="s">
        <v>46</v>
      </c>
      <c r="D264" s="25" t="n">
        <v>30</v>
      </c>
      <c r="E264" s="25" t="n">
        <v>50</v>
      </c>
      <c r="F264" s="24" t="s">
        <v>15</v>
      </c>
    </row>
    <row r="265" customFormat="false" ht="15" hidden="false" customHeight="true" outlineLevel="0" collapsed="false">
      <c r="A265" s="6" t="s">
        <v>29</v>
      </c>
      <c r="B265" s="7" t="s">
        <v>56</v>
      </c>
      <c r="C265" s="8" t="s">
        <v>25</v>
      </c>
      <c r="D265" s="9" t="n">
        <v>130</v>
      </c>
      <c r="E265" s="9" t="n">
        <v>100</v>
      </c>
      <c r="F265" s="8" t="s">
        <v>15</v>
      </c>
    </row>
    <row r="266" customFormat="false" ht="15" hidden="false" customHeight="false" outlineLevel="0" collapsed="false">
      <c r="A266" s="6"/>
      <c r="B266" s="6"/>
      <c r="C266" s="8" t="s">
        <v>57</v>
      </c>
      <c r="D266" s="9" t="n">
        <v>80</v>
      </c>
      <c r="E266" s="9" t="n">
        <v>60</v>
      </c>
      <c r="F266" s="8" t="s">
        <v>15</v>
      </c>
    </row>
    <row r="267" customFormat="false" ht="15" hidden="false" customHeight="false" outlineLevel="0" collapsed="false">
      <c r="A267" s="6"/>
      <c r="B267" s="6"/>
      <c r="C267" s="8" t="s">
        <v>20</v>
      </c>
      <c r="D267" s="9" t="n">
        <v>120</v>
      </c>
      <c r="E267" s="9" t="n">
        <v>150</v>
      </c>
      <c r="F267" s="8" t="s">
        <v>15</v>
      </c>
    </row>
    <row r="268" customFormat="false" ht="15" hidden="false" customHeight="false" outlineLevel="0" collapsed="false">
      <c r="A268" s="6"/>
      <c r="B268" s="6"/>
      <c r="C268" s="8" t="s">
        <v>58</v>
      </c>
      <c r="D268" s="9" t="n">
        <v>40</v>
      </c>
      <c r="E268" s="9" t="n">
        <v>30</v>
      </c>
      <c r="F268" s="8" t="s">
        <v>15</v>
      </c>
    </row>
    <row r="269" customFormat="false" ht="15" hidden="false" customHeight="false" outlineLevel="0" collapsed="false">
      <c r="A269" s="6"/>
      <c r="B269" s="6"/>
      <c r="C269" s="8" t="s">
        <v>44</v>
      </c>
      <c r="D269" s="9" t="n">
        <v>60</v>
      </c>
      <c r="E269" s="9" t="n">
        <v>80</v>
      </c>
      <c r="F269" s="8" t="s">
        <v>15</v>
      </c>
    </row>
    <row r="270" customFormat="false" ht="15" hidden="false" customHeight="false" outlineLevel="0" collapsed="false">
      <c r="A270" s="6"/>
      <c r="B270" s="6"/>
      <c r="C270" s="8" t="s">
        <v>28</v>
      </c>
      <c r="D270" s="9" t="n">
        <v>8</v>
      </c>
      <c r="E270" s="9" t="n">
        <v>6</v>
      </c>
      <c r="F270" s="8" t="s">
        <v>15</v>
      </c>
    </row>
    <row r="271" customFormat="false" ht="15" hidden="false" customHeight="false" outlineLevel="0" collapsed="false">
      <c r="A271" s="18" t="s">
        <v>36</v>
      </c>
      <c r="B271" s="19" t="s">
        <v>59</v>
      </c>
      <c r="C271" s="20" t="s">
        <v>59</v>
      </c>
      <c r="D271" s="21" t="n">
        <v>75</v>
      </c>
      <c r="E271" s="21" t="n">
        <v>55</v>
      </c>
      <c r="F271" s="20" t="s">
        <v>15</v>
      </c>
    </row>
    <row r="273" customFormat="false" ht="19.5" hidden="false" customHeight="true" outlineLevel="0" collapsed="false">
      <c r="A273" s="5" t="s">
        <v>89</v>
      </c>
      <c r="B273" s="5"/>
      <c r="C273" s="5"/>
      <c r="D273" s="5"/>
      <c r="E273" s="5"/>
      <c r="F273" s="5"/>
    </row>
    <row r="274" customFormat="false" ht="15" hidden="false" customHeight="true" outlineLevel="0" collapsed="false">
      <c r="A274" s="6" t="s">
        <v>10</v>
      </c>
      <c r="B274" s="7" t="s">
        <v>11</v>
      </c>
      <c r="C274" s="8" t="s">
        <v>12</v>
      </c>
      <c r="D274" s="9" t="n">
        <v>250</v>
      </c>
      <c r="E274" s="9"/>
      <c r="F274" s="8" t="s">
        <v>13</v>
      </c>
    </row>
    <row r="275" customFormat="false" ht="15" hidden="false" customHeight="false" outlineLevel="0" collapsed="false">
      <c r="A275" s="6"/>
      <c r="B275" s="6"/>
      <c r="C275" s="8" t="s">
        <v>14</v>
      </c>
      <c r="D275" s="9" t="n">
        <v>100</v>
      </c>
      <c r="E275" s="9"/>
      <c r="F275" s="8" t="s">
        <v>15</v>
      </c>
    </row>
    <row r="276" customFormat="false" ht="15" hidden="false" customHeight="false" outlineLevel="0" collapsed="false">
      <c r="A276" s="6"/>
      <c r="B276" s="6"/>
      <c r="C276" s="8" t="s">
        <v>16</v>
      </c>
      <c r="D276" s="9" t="n">
        <v>65</v>
      </c>
      <c r="E276" s="9"/>
      <c r="F276" s="8" t="s">
        <v>15</v>
      </c>
    </row>
    <row r="277" customFormat="false" ht="15" hidden="false" customHeight="false" outlineLevel="0" collapsed="false">
      <c r="A277" s="6"/>
      <c r="B277" s="6"/>
      <c r="C277" s="8" t="s">
        <v>17</v>
      </c>
      <c r="D277" s="9" t="n">
        <v>1</v>
      </c>
      <c r="E277" s="9" t="n">
        <v>2</v>
      </c>
      <c r="F277" s="8" t="s">
        <v>18</v>
      </c>
    </row>
    <row r="278" customFormat="false" ht="15" hidden="false" customHeight="false" outlineLevel="0" collapsed="false">
      <c r="A278" s="6"/>
      <c r="B278" s="6"/>
      <c r="C278" s="8" t="s">
        <v>19</v>
      </c>
      <c r="D278" s="9"/>
      <c r="E278" s="9" t="n">
        <v>30</v>
      </c>
      <c r="F278" s="8" t="s">
        <v>15</v>
      </c>
    </row>
    <row r="279" customFormat="false" ht="15" hidden="false" customHeight="false" outlineLevel="0" collapsed="false">
      <c r="A279" s="6"/>
      <c r="B279" s="6"/>
      <c r="C279" s="8" t="s">
        <v>20</v>
      </c>
      <c r="D279" s="9"/>
      <c r="E279" s="9" t="n">
        <v>80</v>
      </c>
      <c r="F279" s="8" t="s">
        <v>15</v>
      </c>
    </row>
    <row r="280" customFormat="false" ht="15" hidden="false" customHeight="false" outlineLevel="0" collapsed="false">
      <c r="A280" s="6"/>
      <c r="B280" s="6"/>
      <c r="C280" s="8" t="s">
        <v>21</v>
      </c>
      <c r="D280" s="9"/>
      <c r="E280" s="9" t="n">
        <v>40</v>
      </c>
      <c r="F280" s="8" t="s">
        <v>15</v>
      </c>
    </row>
    <row r="281" customFormat="false" ht="15" hidden="false" customHeight="false" outlineLevel="0" collapsed="false">
      <c r="A281" s="6"/>
      <c r="B281" s="6"/>
      <c r="C281" s="8" t="s">
        <v>22</v>
      </c>
      <c r="D281" s="9"/>
      <c r="E281" s="9" t="n">
        <v>150</v>
      </c>
      <c r="F281" s="8" t="s">
        <v>15</v>
      </c>
    </row>
    <row r="282" customFormat="false" ht="15" hidden="false" customHeight="true" outlineLevel="0" collapsed="false">
      <c r="A282" s="10" t="s">
        <v>23</v>
      </c>
      <c r="B282" s="11" t="s">
        <v>90</v>
      </c>
      <c r="C282" s="12" t="s">
        <v>25</v>
      </c>
      <c r="D282" s="13" t="n">
        <v>150</v>
      </c>
      <c r="E282" s="13" t="n">
        <v>120</v>
      </c>
      <c r="F282" s="12" t="s">
        <v>15</v>
      </c>
    </row>
    <row r="283" customFormat="false" ht="15" hidden="false" customHeight="false" outlineLevel="0" collapsed="false">
      <c r="A283" s="10"/>
      <c r="B283" s="10"/>
      <c r="C283" s="12" t="s">
        <v>32</v>
      </c>
      <c r="D283" s="13" t="n">
        <v>300</v>
      </c>
      <c r="E283" s="13" t="n">
        <v>140</v>
      </c>
      <c r="F283" s="12" t="s">
        <v>15</v>
      </c>
    </row>
    <row r="284" customFormat="false" ht="15" hidden="false" customHeight="false" outlineLevel="0" collapsed="false">
      <c r="A284" s="10"/>
      <c r="B284" s="10"/>
      <c r="C284" s="12" t="s">
        <v>57</v>
      </c>
      <c r="D284" s="13" t="n">
        <v>80</v>
      </c>
      <c r="E284" s="13" t="n">
        <v>60</v>
      </c>
      <c r="F284" s="12" t="s">
        <v>15</v>
      </c>
    </row>
    <row r="285" customFormat="false" ht="15" hidden="false" customHeight="false" outlineLevel="0" collapsed="false">
      <c r="A285" s="10"/>
      <c r="B285" s="10"/>
      <c r="C285" s="12" t="s">
        <v>46</v>
      </c>
      <c r="D285" s="13" t="n">
        <v>40</v>
      </c>
      <c r="E285" s="13" t="n">
        <v>60</v>
      </c>
      <c r="F285" s="12" t="s">
        <v>15</v>
      </c>
    </row>
    <row r="286" customFormat="false" ht="15" hidden="false" customHeight="false" outlineLevel="0" collapsed="false">
      <c r="A286" s="10"/>
      <c r="B286" s="10"/>
      <c r="C286" s="12" t="s">
        <v>20</v>
      </c>
      <c r="D286" s="13" t="n">
        <v>120</v>
      </c>
      <c r="E286" s="13" t="n">
        <v>150</v>
      </c>
      <c r="F286" s="12" t="s">
        <v>15</v>
      </c>
    </row>
    <row r="287" customFormat="false" ht="15" hidden="false" customHeight="false" outlineLevel="0" collapsed="false">
      <c r="A287" s="10"/>
      <c r="B287" s="10"/>
      <c r="C287" s="12" t="s">
        <v>28</v>
      </c>
      <c r="D287" s="13" t="n">
        <v>8</v>
      </c>
      <c r="E287" s="13" t="n">
        <v>6</v>
      </c>
      <c r="F287" s="12" t="s">
        <v>15</v>
      </c>
    </row>
    <row r="288" customFormat="false" ht="15" hidden="false" customHeight="true" outlineLevel="0" collapsed="false">
      <c r="A288" s="6" t="s">
        <v>29</v>
      </c>
      <c r="B288" s="7" t="s">
        <v>91</v>
      </c>
      <c r="C288" s="8" t="s">
        <v>51</v>
      </c>
      <c r="D288" s="9" t="n">
        <v>110</v>
      </c>
      <c r="E288" s="9" t="n">
        <v>85</v>
      </c>
      <c r="F288" s="8" t="s">
        <v>15</v>
      </c>
    </row>
    <row r="289" customFormat="false" ht="15" hidden="false" customHeight="false" outlineLevel="0" collapsed="false">
      <c r="A289" s="6"/>
      <c r="B289" s="6"/>
      <c r="C289" s="8" t="s">
        <v>84</v>
      </c>
      <c r="D289" s="9" t="n">
        <v>65</v>
      </c>
      <c r="E289" s="9" t="n">
        <v>45</v>
      </c>
      <c r="F289" s="8" t="s">
        <v>15</v>
      </c>
    </row>
    <row r="290" customFormat="false" ht="15" hidden="false" customHeight="false" outlineLevel="0" collapsed="false">
      <c r="A290" s="6"/>
      <c r="B290" s="6"/>
      <c r="C290" s="8" t="s">
        <v>33</v>
      </c>
      <c r="D290" s="9" t="n">
        <v>100</v>
      </c>
      <c r="E290" s="9" t="n">
        <v>120</v>
      </c>
      <c r="F290" s="8" t="s">
        <v>15</v>
      </c>
    </row>
    <row r="291" customFormat="false" ht="15" hidden="false" customHeight="false" outlineLevel="0" collapsed="false">
      <c r="A291" s="6"/>
      <c r="B291" s="6"/>
      <c r="C291" s="8" t="s">
        <v>20</v>
      </c>
      <c r="D291" s="9" t="n">
        <v>150</v>
      </c>
      <c r="E291" s="9" t="n">
        <v>150</v>
      </c>
      <c r="F291" s="8" t="s">
        <v>15</v>
      </c>
    </row>
    <row r="292" customFormat="false" ht="15" hidden="false" customHeight="false" outlineLevel="0" collapsed="false">
      <c r="A292" s="6"/>
      <c r="B292" s="6"/>
      <c r="C292" s="8" t="s">
        <v>35</v>
      </c>
      <c r="D292" s="9" t="n">
        <v>20</v>
      </c>
      <c r="E292" s="9" t="n">
        <v>20</v>
      </c>
      <c r="F292" s="8" t="s">
        <v>15</v>
      </c>
    </row>
    <row r="293" customFormat="false" ht="15" hidden="false" customHeight="false" outlineLevel="0" collapsed="false">
      <c r="A293" s="6"/>
      <c r="B293" s="6"/>
      <c r="C293" s="8" t="s">
        <v>85</v>
      </c>
      <c r="D293" s="9" t="n">
        <v>30</v>
      </c>
      <c r="E293" s="9" t="n">
        <v>25</v>
      </c>
      <c r="F293" s="8" t="s">
        <v>15</v>
      </c>
    </row>
    <row r="294" customFormat="false" ht="15" hidden="false" customHeight="false" outlineLevel="0" collapsed="false">
      <c r="A294" s="6"/>
      <c r="B294" s="6"/>
      <c r="C294" s="8" t="s">
        <v>12</v>
      </c>
      <c r="D294" s="9" t="n">
        <v>80</v>
      </c>
      <c r="E294" s="9" t="n">
        <v>60</v>
      </c>
      <c r="F294" s="8" t="s">
        <v>13</v>
      </c>
    </row>
    <row r="295" customFormat="false" ht="15" hidden="false" customHeight="false" outlineLevel="0" collapsed="false">
      <c r="A295" s="6"/>
      <c r="B295" s="6"/>
      <c r="C295" s="8" t="s">
        <v>81</v>
      </c>
      <c r="D295" s="9" t="n">
        <v>8</v>
      </c>
      <c r="E295" s="9" t="n">
        <v>6</v>
      </c>
      <c r="F295" s="8" t="s">
        <v>15</v>
      </c>
    </row>
    <row r="296" customFormat="false" ht="15" hidden="false" customHeight="false" outlineLevel="0" collapsed="false">
      <c r="A296" s="6"/>
      <c r="B296" s="6"/>
      <c r="C296" s="8" t="s">
        <v>28</v>
      </c>
      <c r="D296" s="9" t="n">
        <v>8</v>
      </c>
      <c r="E296" s="9" t="n">
        <v>6</v>
      </c>
      <c r="F296" s="8" t="s">
        <v>15</v>
      </c>
    </row>
    <row r="297" customFormat="false" ht="15" hidden="false" customHeight="false" outlineLevel="0" collapsed="false">
      <c r="A297" s="6"/>
      <c r="B297" s="6"/>
      <c r="C297" s="8" t="s">
        <v>46</v>
      </c>
      <c r="D297" s="9" t="n">
        <v>40</v>
      </c>
      <c r="E297" s="9" t="n">
        <v>60</v>
      </c>
      <c r="F297" s="8" t="s">
        <v>15</v>
      </c>
    </row>
    <row r="298" customFormat="false" ht="15" hidden="false" customHeight="true" outlineLevel="0" collapsed="false">
      <c r="A298" s="18" t="s">
        <v>36</v>
      </c>
      <c r="B298" s="19" t="s">
        <v>37</v>
      </c>
      <c r="C298" s="20" t="s">
        <v>38</v>
      </c>
      <c r="D298" s="21" t="n">
        <v>125</v>
      </c>
      <c r="E298" s="21" t="n">
        <v>125</v>
      </c>
      <c r="F298" s="20" t="s">
        <v>15</v>
      </c>
    </row>
    <row r="299" customFormat="false" ht="15" hidden="false" customHeight="false" outlineLevel="0" collapsed="false">
      <c r="A299" s="18"/>
      <c r="B299" s="18"/>
      <c r="C299" s="20" t="s">
        <v>39</v>
      </c>
      <c r="D299" s="21" t="n">
        <v>10</v>
      </c>
      <c r="E299" s="21" t="n">
        <v>10</v>
      </c>
      <c r="F299" s="20" t="s">
        <v>15</v>
      </c>
    </row>
    <row r="301" customFormat="false" ht="19.5" hidden="false" customHeight="true" outlineLevel="0" collapsed="false">
      <c r="A301" s="5" t="s">
        <v>92</v>
      </c>
      <c r="B301" s="5"/>
      <c r="C301" s="5"/>
      <c r="D301" s="5"/>
      <c r="E301" s="5"/>
      <c r="F301" s="5"/>
    </row>
    <row r="302" customFormat="false" ht="15" hidden="false" customHeight="true" outlineLevel="0" collapsed="false">
      <c r="A302" s="6" t="s">
        <v>10</v>
      </c>
      <c r="B302" s="7" t="s">
        <v>11</v>
      </c>
      <c r="C302" s="8" t="s">
        <v>12</v>
      </c>
      <c r="D302" s="9" t="n">
        <v>250</v>
      </c>
      <c r="E302" s="9"/>
      <c r="F302" s="8" t="s">
        <v>13</v>
      </c>
    </row>
    <row r="303" customFormat="false" ht="15" hidden="false" customHeight="false" outlineLevel="0" collapsed="false">
      <c r="A303" s="6"/>
      <c r="B303" s="6"/>
      <c r="C303" s="8" t="s">
        <v>14</v>
      </c>
      <c r="D303" s="9" t="n">
        <v>100</v>
      </c>
      <c r="E303" s="9"/>
      <c r="F303" s="8" t="s">
        <v>15</v>
      </c>
    </row>
    <row r="304" customFormat="false" ht="15" hidden="false" customHeight="false" outlineLevel="0" collapsed="false">
      <c r="A304" s="6"/>
      <c r="B304" s="6"/>
      <c r="C304" s="8" t="s">
        <v>16</v>
      </c>
      <c r="D304" s="9" t="n">
        <v>65</v>
      </c>
      <c r="E304" s="9"/>
      <c r="F304" s="8" t="s">
        <v>15</v>
      </c>
    </row>
    <row r="305" customFormat="false" ht="15" hidden="false" customHeight="false" outlineLevel="0" collapsed="false">
      <c r="A305" s="6"/>
      <c r="B305" s="6"/>
      <c r="C305" s="8" t="s">
        <v>17</v>
      </c>
      <c r="D305" s="9" t="n">
        <v>1</v>
      </c>
      <c r="E305" s="9" t="n">
        <v>2</v>
      </c>
      <c r="F305" s="8" t="s">
        <v>18</v>
      </c>
    </row>
    <row r="306" customFormat="false" ht="15" hidden="false" customHeight="false" outlineLevel="0" collapsed="false">
      <c r="A306" s="6"/>
      <c r="B306" s="6"/>
      <c r="C306" s="8" t="s">
        <v>19</v>
      </c>
      <c r="D306" s="9"/>
      <c r="E306" s="9" t="n">
        <v>30</v>
      </c>
      <c r="F306" s="8" t="s">
        <v>15</v>
      </c>
    </row>
    <row r="307" customFormat="false" ht="15" hidden="false" customHeight="false" outlineLevel="0" collapsed="false">
      <c r="A307" s="6"/>
      <c r="B307" s="6"/>
      <c r="C307" s="8" t="s">
        <v>20</v>
      </c>
      <c r="D307" s="9"/>
      <c r="E307" s="9" t="n">
        <v>80</v>
      </c>
      <c r="F307" s="8" t="s">
        <v>15</v>
      </c>
    </row>
    <row r="308" customFormat="false" ht="15" hidden="false" customHeight="false" outlineLevel="0" collapsed="false">
      <c r="A308" s="6"/>
      <c r="B308" s="6"/>
      <c r="C308" s="8" t="s">
        <v>21</v>
      </c>
      <c r="D308" s="9"/>
      <c r="E308" s="9" t="n">
        <v>40</v>
      </c>
      <c r="F308" s="8" t="s">
        <v>15</v>
      </c>
    </row>
    <row r="309" customFormat="false" ht="15" hidden="false" customHeight="false" outlineLevel="0" collapsed="false">
      <c r="A309" s="6"/>
      <c r="B309" s="6"/>
      <c r="C309" s="8" t="s">
        <v>22</v>
      </c>
      <c r="D309" s="9"/>
      <c r="E309" s="9" t="n">
        <v>150</v>
      </c>
      <c r="F309" s="8" t="s">
        <v>15</v>
      </c>
    </row>
    <row r="310" customFormat="false" ht="15" hidden="false" customHeight="true" outlineLevel="0" collapsed="false">
      <c r="A310" s="10" t="s">
        <v>23</v>
      </c>
      <c r="B310" s="11" t="s">
        <v>93</v>
      </c>
      <c r="C310" s="12" t="s">
        <v>25</v>
      </c>
      <c r="D310" s="13" t="n">
        <v>150</v>
      </c>
      <c r="E310" s="13" t="n">
        <v>120</v>
      </c>
      <c r="F310" s="12" t="s">
        <v>15</v>
      </c>
    </row>
    <row r="311" customFormat="false" ht="15" hidden="false" customHeight="false" outlineLevel="0" collapsed="false">
      <c r="A311" s="10"/>
      <c r="B311" s="10"/>
      <c r="C311" s="12" t="s">
        <v>33</v>
      </c>
      <c r="D311" s="13" t="n">
        <v>150</v>
      </c>
      <c r="E311" s="13" t="n">
        <v>180</v>
      </c>
      <c r="F311" s="12" t="s">
        <v>15</v>
      </c>
    </row>
    <row r="312" customFormat="false" ht="15" hidden="false" customHeight="false" outlineLevel="0" collapsed="false">
      <c r="A312" s="10"/>
      <c r="B312" s="10"/>
      <c r="C312" s="12" t="s">
        <v>20</v>
      </c>
      <c r="D312" s="13" t="n">
        <v>80</v>
      </c>
      <c r="E312" s="13" t="n">
        <v>100</v>
      </c>
      <c r="F312" s="12" t="s">
        <v>15</v>
      </c>
    </row>
    <row r="313" customFormat="false" ht="15" hidden="false" customHeight="false" outlineLevel="0" collapsed="false">
      <c r="A313" s="10"/>
      <c r="B313" s="10"/>
      <c r="C313" s="12" t="s">
        <v>35</v>
      </c>
      <c r="D313" s="13" t="n">
        <v>30</v>
      </c>
      <c r="E313" s="13" t="n">
        <v>30</v>
      </c>
      <c r="F313" s="12" t="s">
        <v>15</v>
      </c>
    </row>
    <row r="314" customFormat="false" ht="15" hidden="false" customHeight="false" outlineLevel="0" collapsed="false">
      <c r="A314" s="10"/>
      <c r="B314" s="10"/>
      <c r="C314" s="12" t="s">
        <v>43</v>
      </c>
      <c r="D314" s="13" t="n">
        <v>85</v>
      </c>
      <c r="E314" s="13" t="n">
        <v>45</v>
      </c>
      <c r="F314" s="12" t="s">
        <v>15</v>
      </c>
    </row>
    <row r="315" customFormat="false" ht="15" hidden="false" customHeight="false" outlineLevel="0" collapsed="false">
      <c r="A315" s="10"/>
      <c r="B315" s="10"/>
      <c r="C315" s="12" t="s">
        <v>28</v>
      </c>
      <c r="D315" s="13" t="n">
        <v>10</v>
      </c>
      <c r="E315" s="13" t="n">
        <v>7</v>
      </c>
      <c r="F315" s="12" t="s">
        <v>15</v>
      </c>
    </row>
    <row r="316" customFormat="false" ht="15" hidden="false" customHeight="true" outlineLevel="0" collapsed="false">
      <c r="A316" s="6" t="s">
        <v>29</v>
      </c>
      <c r="B316" s="7" t="s">
        <v>94</v>
      </c>
      <c r="C316" s="8" t="s">
        <v>25</v>
      </c>
      <c r="D316" s="9" t="n">
        <v>130</v>
      </c>
      <c r="E316" s="9" t="n">
        <v>100</v>
      </c>
      <c r="F316" s="8" t="s">
        <v>15</v>
      </c>
    </row>
    <row r="317" customFormat="false" ht="15" hidden="false" customHeight="false" outlineLevel="0" collapsed="false">
      <c r="A317" s="6"/>
      <c r="B317" s="6"/>
      <c r="C317" s="8" t="s">
        <v>95</v>
      </c>
      <c r="D317" s="9" t="n">
        <v>2</v>
      </c>
      <c r="E317" s="9" t="n">
        <v>1</v>
      </c>
      <c r="F317" s="8" t="s">
        <v>18</v>
      </c>
    </row>
    <row r="318" customFormat="false" ht="15" hidden="false" customHeight="false" outlineLevel="0" collapsed="false">
      <c r="A318" s="6"/>
      <c r="B318" s="6"/>
      <c r="C318" s="8" t="s">
        <v>34</v>
      </c>
      <c r="D318" s="9" t="n">
        <v>60</v>
      </c>
      <c r="E318" s="9" t="n">
        <v>80</v>
      </c>
      <c r="F318" s="8" t="s">
        <v>15</v>
      </c>
    </row>
    <row r="319" customFormat="false" ht="15" hidden="false" customHeight="false" outlineLevel="0" collapsed="false">
      <c r="A319" s="6"/>
      <c r="B319" s="6"/>
      <c r="C319" s="8" t="s">
        <v>35</v>
      </c>
      <c r="D319" s="9" t="n">
        <v>30</v>
      </c>
      <c r="E319" s="9" t="n">
        <v>30</v>
      </c>
      <c r="F319" s="8" t="s">
        <v>15</v>
      </c>
    </row>
    <row r="320" customFormat="false" ht="15" hidden="false" customHeight="false" outlineLevel="0" collapsed="false">
      <c r="A320" s="6"/>
      <c r="B320" s="6"/>
      <c r="C320" s="8" t="s">
        <v>20</v>
      </c>
      <c r="D320" s="9" t="n">
        <v>60</v>
      </c>
      <c r="E320" s="9" t="n">
        <v>80</v>
      </c>
      <c r="F320" s="8" t="s">
        <v>15</v>
      </c>
    </row>
    <row r="321" customFormat="false" ht="15" hidden="false" customHeight="false" outlineLevel="0" collapsed="false">
      <c r="A321" s="6"/>
      <c r="B321" s="6"/>
      <c r="C321" s="8" t="s">
        <v>55</v>
      </c>
      <c r="D321" s="9" t="n">
        <v>15</v>
      </c>
      <c r="E321" s="9" t="n">
        <v>10</v>
      </c>
      <c r="F321" s="8" t="s">
        <v>15</v>
      </c>
    </row>
    <row r="322" customFormat="false" ht="15" hidden="false" customHeight="false" outlineLevel="0" collapsed="false">
      <c r="A322" s="6"/>
      <c r="B322" s="6"/>
      <c r="C322" s="8" t="s">
        <v>28</v>
      </c>
      <c r="D322" s="9" t="n">
        <v>8</v>
      </c>
      <c r="E322" s="9" t="n">
        <v>6</v>
      </c>
      <c r="F322" s="8" t="s">
        <v>15</v>
      </c>
    </row>
    <row r="323" customFormat="false" ht="15" hidden="false" customHeight="false" outlineLevel="0" collapsed="false">
      <c r="A323" s="18" t="s">
        <v>36</v>
      </c>
      <c r="B323" s="19" t="s">
        <v>68</v>
      </c>
      <c r="C323" s="20" t="s">
        <v>39</v>
      </c>
      <c r="D323" s="21" t="n">
        <v>15</v>
      </c>
      <c r="E323" s="21" t="n">
        <v>10</v>
      </c>
      <c r="F323" s="20" t="s">
        <v>15</v>
      </c>
    </row>
    <row r="325" customFormat="false" ht="19.5" hidden="false" customHeight="true" outlineLevel="0" collapsed="false">
      <c r="A325" s="5" t="s">
        <v>96</v>
      </c>
      <c r="B325" s="5"/>
      <c r="C325" s="5"/>
      <c r="D325" s="5"/>
      <c r="E325" s="5"/>
      <c r="F325" s="5"/>
    </row>
    <row r="326" customFormat="false" ht="15" hidden="false" customHeight="true" outlineLevel="0" collapsed="false">
      <c r="A326" s="6" t="s">
        <v>10</v>
      </c>
      <c r="B326" s="7" t="s">
        <v>11</v>
      </c>
      <c r="C326" s="8" t="s">
        <v>12</v>
      </c>
      <c r="D326" s="9" t="n">
        <v>250</v>
      </c>
      <c r="E326" s="9"/>
      <c r="F326" s="8" t="s">
        <v>13</v>
      </c>
    </row>
    <row r="327" customFormat="false" ht="15" hidden="false" customHeight="false" outlineLevel="0" collapsed="false">
      <c r="A327" s="6"/>
      <c r="B327" s="6"/>
      <c r="C327" s="8" t="s">
        <v>14</v>
      </c>
      <c r="D327" s="9" t="n">
        <v>100</v>
      </c>
      <c r="E327" s="9"/>
      <c r="F327" s="8" t="s">
        <v>15</v>
      </c>
    </row>
    <row r="328" customFormat="false" ht="15" hidden="false" customHeight="false" outlineLevel="0" collapsed="false">
      <c r="A328" s="6"/>
      <c r="B328" s="6"/>
      <c r="C328" s="8" t="s">
        <v>16</v>
      </c>
      <c r="D328" s="9" t="n">
        <v>65</v>
      </c>
      <c r="E328" s="9"/>
      <c r="F328" s="8" t="s">
        <v>15</v>
      </c>
    </row>
    <row r="329" customFormat="false" ht="15" hidden="false" customHeight="false" outlineLevel="0" collapsed="false">
      <c r="A329" s="6"/>
      <c r="B329" s="6"/>
      <c r="C329" s="8" t="s">
        <v>17</v>
      </c>
      <c r="D329" s="9" t="n">
        <v>1</v>
      </c>
      <c r="E329" s="9" t="n">
        <v>2</v>
      </c>
      <c r="F329" s="8" t="s">
        <v>18</v>
      </c>
    </row>
    <row r="330" customFormat="false" ht="15" hidden="false" customHeight="false" outlineLevel="0" collapsed="false">
      <c r="A330" s="6"/>
      <c r="B330" s="6"/>
      <c r="C330" s="8" t="s">
        <v>19</v>
      </c>
      <c r="D330" s="9"/>
      <c r="E330" s="9" t="n">
        <v>30</v>
      </c>
      <c r="F330" s="8" t="s">
        <v>15</v>
      </c>
    </row>
    <row r="331" customFormat="false" ht="15" hidden="false" customHeight="false" outlineLevel="0" collapsed="false">
      <c r="A331" s="6"/>
      <c r="B331" s="6"/>
      <c r="C331" s="8" t="s">
        <v>20</v>
      </c>
      <c r="D331" s="9"/>
      <c r="E331" s="9" t="n">
        <v>80</v>
      </c>
      <c r="F331" s="8" t="s">
        <v>15</v>
      </c>
    </row>
    <row r="332" customFormat="false" ht="15" hidden="false" customHeight="false" outlineLevel="0" collapsed="false">
      <c r="A332" s="6"/>
      <c r="B332" s="6"/>
      <c r="C332" s="8" t="s">
        <v>21</v>
      </c>
      <c r="D332" s="9"/>
      <c r="E332" s="9" t="n">
        <v>40</v>
      </c>
      <c r="F332" s="8" t="s">
        <v>15</v>
      </c>
    </row>
    <row r="333" customFormat="false" ht="15" hidden="false" customHeight="false" outlineLevel="0" collapsed="false">
      <c r="A333" s="6"/>
      <c r="B333" s="6"/>
      <c r="C333" s="8" t="s">
        <v>22</v>
      </c>
      <c r="D333" s="9"/>
      <c r="E333" s="9" t="n">
        <v>150</v>
      </c>
      <c r="F333" s="8" t="s">
        <v>15</v>
      </c>
    </row>
    <row r="334" customFormat="false" ht="15" hidden="false" customHeight="true" outlineLevel="0" collapsed="false">
      <c r="A334" s="14" t="s">
        <v>23</v>
      </c>
      <c r="B334" s="15" t="s">
        <v>97</v>
      </c>
      <c r="C334" s="16" t="s">
        <v>31</v>
      </c>
      <c r="D334" s="17" t="n">
        <v>150</v>
      </c>
      <c r="E334" s="17" t="n">
        <v>125</v>
      </c>
      <c r="F334" s="16" t="s">
        <v>15</v>
      </c>
    </row>
    <row r="335" customFormat="false" ht="15" hidden="false" customHeight="false" outlineLevel="0" collapsed="false">
      <c r="A335" s="14"/>
      <c r="B335" s="14"/>
      <c r="C335" s="16" t="s">
        <v>20</v>
      </c>
      <c r="D335" s="17" t="n">
        <v>150</v>
      </c>
      <c r="E335" s="17" t="n">
        <v>180</v>
      </c>
      <c r="F335" s="16" t="s">
        <v>15</v>
      </c>
    </row>
    <row r="336" customFormat="false" ht="15" hidden="false" customHeight="false" outlineLevel="0" collapsed="false">
      <c r="A336" s="14"/>
      <c r="B336" s="14"/>
      <c r="C336" s="16" t="s">
        <v>35</v>
      </c>
      <c r="D336" s="17" t="n">
        <v>40</v>
      </c>
      <c r="E336" s="17" t="n">
        <v>40</v>
      </c>
      <c r="F336" s="16" t="s">
        <v>15</v>
      </c>
    </row>
    <row r="337" customFormat="false" ht="15" hidden="false" customHeight="false" outlineLevel="0" collapsed="false">
      <c r="A337" s="14"/>
      <c r="B337" s="14"/>
      <c r="C337" s="16" t="s">
        <v>43</v>
      </c>
      <c r="D337" s="17" t="n">
        <v>85</v>
      </c>
      <c r="E337" s="17" t="n">
        <v>45</v>
      </c>
      <c r="F337" s="16" t="s">
        <v>15</v>
      </c>
    </row>
    <row r="338" customFormat="false" ht="15" hidden="false" customHeight="false" outlineLevel="0" collapsed="false">
      <c r="A338" s="14"/>
      <c r="B338" s="14"/>
      <c r="C338" s="16" t="s">
        <v>27</v>
      </c>
      <c r="D338" s="17" t="n">
        <v>150</v>
      </c>
      <c r="E338" s="17" t="n">
        <v>200</v>
      </c>
      <c r="F338" s="16" t="s">
        <v>15</v>
      </c>
    </row>
    <row r="339" customFormat="false" ht="15" hidden="false" customHeight="false" outlineLevel="0" collapsed="false">
      <c r="A339" s="14"/>
      <c r="B339" s="14"/>
      <c r="C339" s="16" t="s">
        <v>28</v>
      </c>
      <c r="D339" s="17" t="n">
        <v>10</v>
      </c>
      <c r="E339" s="17" t="n">
        <v>7</v>
      </c>
      <c r="F339" s="16" t="s">
        <v>15</v>
      </c>
    </row>
    <row r="340" customFormat="false" ht="15" hidden="false" customHeight="true" outlineLevel="0" collapsed="false">
      <c r="A340" s="6" t="s">
        <v>29</v>
      </c>
      <c r="B340" s="7" t="s">
        <v>98</v>
      </c>
      <c r="C340" s="8" t="s">
        <v>25</v>
      </c>
      <c r="D340" s="9" t="n">
        <v>120</v>
      </c>
      <c r="E340" s="9" t="n">
        <v>90</v>
      </c>
      <c r="F340" s="8" t="s">
        <v>15</v>
      </c>
    </row>
    <row r="341" customFormat="false" ht="15" hidden="false" customHeight="false" outlineLevel="0" collapsed="false">
      <c r="A341" s="6"/>
      <c r="B341" s="6"/>
      <c r="C341" s="8" t="s">
        <v>66</v>
      </c>
      <c r="D341" s="9" t="n">
        <v>105</v>
      </c>
      <c r="E341" s="9" t="n">
        <v>60</v>
      </c>
      <c r="F341" s="8" t="s">
        <v>15</v>
      </c>
    </row>
    <row r="342" customFormat="false" ht="15" hidden="false" customHeight="false" outlineLevel="0" collapsed="false">
      <c r="A342" s="6"/>
      <c r="B342" s="6"/>
      <c r="C342" s="8" t="s">
        <v>20</v>
      </c>
      <c r="D342" s="9" t="n">
        <v>100</v>
      </c>
      <c r="E342" s="9" t="n">
        <v>120</v>
      </c>
      <c r="F342" s="8" t="s">
        <v>15</v>
      </c>
    </row>
    <row r="343" customFormat="false" ht="15" hidden="false" customHeight="false" outlineLevel="0" collapsed="false">
      <c r="A343" s="6"/>
      <c r="B343" s="6"/>
      <c r="C343" s="8" t="s">
        <v>33</v>
      </c>
      <c r="D343" s="9" t="n">
        <v>120</v>
      </c>
      <c r="E343" s="9" t="n">
        <v>150</v>
      </c>
      <c r="F343" s="8" t="s">
        <v>15</v>
      </c>
    </row>
    <row r="344" customFormat="false" ht="15" hidden="false" customHeight="false" outlineLevel="0" collapsed="false">
      <c r="A344" s="6"/>
      <c r="B344" s="6"/>
      <c r="C344" s="8" t="s">
        <v>28</v>
      </c>
      <c r="D344" s="9" t="n">
        <v>10</v>
      </c>
      <c r="E344" s="9" t="n">
        <v>7</v>
      </c>
      <c r="F344" s="8" t="s">
        <v>15</v>
      </c>
    </row>
    <row r="345" customFormat="false" ht="15" hidden="false" customHeight="false" outlineLevel="0" collapsed="false">
      <c r="A345" s="18" t="s">
        <v>36</v>
      </c>
      <c r="B345" s="19" t="s">
        <v>73</v>
      </c>
      <c r="C345" s="20" t="s">
        <v>73</v>
      </c>
      <c r="D345" s="21" t="n">
        <v>100</v>
      </c>
      <c r="E345" s="21" t="n">
        <v>80</v>
      </c>
      <c r="F345" s="20" t="s">
        <v>15</v>
      </c>
    </row>
    <row r="347" customFormat="false" ht="19.5" hidden="false" customHeight="true" outlineLevel="0" collapsed="false">
      <c r="A347" s="5" t="s">
        <v>99</v>
      </c>
      <c r="B347" s="5"/>
      <c r="C347" s="5"/>
      <c r="D347" s="5"/>
      <c r="E347" s="5"/>
      <c r="F347" s="5"/>
    </row>
    <row r="348" customFormat="false" ht="15" hidden="false" customHeight="true" outlineLevel="0" collapsed="false">
      <c r="A348" s="6" t="s">
        <v>10</v>
      </c>
      <c r="B348" s="7" t="s">
        <v>11</v>
      </c>
      <c r="C348" s="8" t="s">
        <v>12</v>
      </c>
      <c r="D348" s="9" t="n">
        <v>250</v>
      </c>
      <c r="E348" s="9"/>
      <c r="F348" s="8" t="s">
        <v>13</v>
      </c>
    </row>
    <row r="349" customFormat="false" ht="15" hidden="false" customHeight="false" outlineLevel="0" collapsed="false">
      <c r="A349" s="6"/>
      <c r="B349" s="6"/>
      <c r="C349" s="8" t="s">
        <v>14</v>
      </c>
      <c r="D349" s="9" t="n">
        <v>100</v>
      </c>
      <c r="E349" s="9"/>
      <c r="F349" s="8" t="s">
        <v>15</v>
      </c>
    </row>
    <row r="350" customFormat="false" ht="15" hidden="false" customHeight="false" outlineLevel="0" collapsed="false">
      <c r="A350" s="6"/>
      <c r="B350" s="6"/>
      <c r="C350" s="8" t="s">
        <v>16</v>
      </c>
      <c r="D350" s="9" t="n">
        <v>65</v>
      </c>
      <c r="E350" s="9"/>
      <c r="F350" s="8" t="s">
        <v>15</v>
      </c>
    </row>
    <row r="351" customFormat="false" ht="15" hidden="false" customHeight="false" outlineLevel="0" collapsed="false">
      <c r="A351" s="6"/>
      <c r="B351" s="6"/>
      <c r="C351" s="8" t="s">
        <v>17</v>
      </c>
      <c r="D351" s="9" t="n">
        <v>1</v>
      </c>
      <c r="E351" s="9" t="n">
        <v>2</v>
      </c>
      <c r="F351" s="8" t="s">
        <v>18</v>
      </c>
    </row>
    <row r="352" customFormat="false" ht="15" hidden="false" customHeight="false" outlineLevel="0" collapsed="false">
      <c r="A352" s="6"/>
      <c r="B352" s="6"/>
      <c r="C352" s="8" t="s">
        <v>19</v>
      </c>
      <c r="D352" s="9"/>
      <c r="E352" s="9" t="n">
        <v>30</v>
      </c>
      <c r="F352" s="8" t="s">
        <v>15</v>
      </c>
    </row>
    <row r="353" customFormat="false" ht="15" hidden="false" customHeight="false" outlineLevel="0" collapsed="false">
      <c r="A353" s="6"/>
      <c r="B353" s="6"/>
      <c r="C353" s="8" t="s">
        <v>20</v>
      </c>
      <c r="D353" s="9"/>
      <c r="E353" s="9" t="n">
        <v>80</v>
      </c>
      <c r="F353" s="8" t="s">
        <v>15</v>
      </c>
    </row>
    <row r="354" customFormat="false" ht="15" hidden="false" customHeight="false" outlineLevel="0" collapsed="false">
      <c r="A354" s="6"/>
      <c r="B354" s="6"/>
      <c r="C354" s="8" t="s">
        <v>21</v>
      </c>
      <c r="D354" s="9"/>
      <c r="E354" s="9" t="n">
        <v>40</v>
      </c>
      <c r="F354" s="8" t="s">
        <v>15</v>
      </c>
    </row>
    <row r="355" customFormat="false" ht="15" hidden="false" customHeight="false" outlineLevel="0" collapsed="false">
      <c r="A355" s="6"/>
      <c r="B355" s="6"/>
      <c r="C355" s="8" t="s">
        <v>22</v>
      </c>
      <c r="D355" s="9"/>
      <c r="E355" s="9" t="n">
        <v>150</v>
      </c>
      <c r="F355" s="8" t="s">
        <v>15</v>
      </c>
    </row>
    <row r="356" customFormat="false" ht="15" hidden="false" customHeight="true" outlineLevel="0" collapsed="false">
      <c r="A356" s="10" t="s">
        <v>23</v>
      </c>
      <c r="B356" s="11" t="s">
        <v>24</v>
      </c>
      <c r="C356" s="12" t="s">
        <v>25</v>
      </c>
      <c r="D356" s="13" t="n">
        <v>150</v>
      </c>
      <c r="E356" s="13" t="n">
        <v>120</v>
      </c>
      <c r="F356" s="12" t="s">
        <v>15</v>
      </c>
    </row>
    <row r="357" customFormat="false" ht="15" hidden="false" customHeight="false" outlineLevel="0" collapsed="false">
      <c r="A357" s="10"/>
      <c r="B357" s="10"/>
      <c r="C357" s="12" t="s">
        <v>26</v>
      </c>
      <c r="D357" s="13" t="n">
        <v>360</v>
      </c>
      <c r="E357" s="13" t="n">
        <v>170</v>
      </c>
      <c r="F357" s="12" t="s">
        <v>15</v>
      </c>
    </row>
    <row r="358" customFormat="false" ht="15" hidden="false" customHeight="false" outlineLevel="0" collapsed="false">
      <c r="A358" s="10"/>
      <c r="B358" s="10"/>
      <c r="C358" s="12" t="s">
        <v>27</v>
      </c>
      <c r="D358" s="13" t="n">
        <v>250</v>
      </c>
      <c r="E358" s="13" t="n">
        <v>280</v>
      </c>
      <c r="F358" s="12" t="s">
        <v>15</v>
      </c>
    </row>
    <row r="359" customFormat="false" ht="15" hidden="false" customHeight="false" outlineLevel="0" collapsed="false">
      <c r="A359" s="10"/>
      <c r="B359" s="10"/>
      <c r="C359" s="12" t="s">
        <v>28</v>
      </c>
      <c r="D359" s="13" t="n">
        <v>10</v>
      </c>
      <c r="E359" s="13" t="n">
        <v>7</v>
      </c>
      <c r="F359" s="12" t="s">
        <v>15</v>
      </c>
    </row>
    <row r="360" customFormat="false" ht="15" hidden="false" customHeight="true" outlineLevel="0" collapsed="false">
      <c r="A360" s="6" t="s">
        <v>29</v>
      </c>
      <c r="B360" s="7" t="s">
        <v>100</v>
      </c>
      <c r="C360" s="8" t="s">
        <v>51</v>
      </c>
      <c r="D360" s="9" t="n">
        <v>130</v>
      </c>
      <c r="E360" s="9" t="n">
        <v>100</v>
      </c>
      <c r="F360" s="8" t="s">
        <v>15</v>
      </c>
    </row>
    <row r="361" customFormat="false" ht="15" hidden="false" customHeight="false" outlineLevel="0" collapsed="false">
      <c r="A361" s="6"/>
      <c r="B361" s="6"/>
      <c r="C361" s="8" t="s">
        <v>43</v>
      </c>
      <c r="D361" s="9" t="n">
        <v>85</v>
      </c>
      <c r="E361" s="9" t="n">
        <v>45</v>
      </c>
      <c r="F361" s="8" t="s">
        <v>15</v>
      </c>
    </row>
    <row r="362" customFormat="false" ht="15" hidden="false" customHeight="false" outlineLevel="0" collapsed="false">
      <c r="A362" s="6"/>
      <c r="B362" s="6"/>
      <c r="C362" s="8" t="s">
        <v>34</v>
      </c>
      <c r="D362" s="9" t="n">
        <v>50</v>
      </c>
      <c r="E362" s="9" t="n">
        <v>60</v>
      </c>
      <c r="F362" s="8" t="s">
        <v>15</v>
      </c>
    </row>
    <row r="363" customFormat="false" ht="15" hidden="false" customHeight="false" outlineLevel="0" collapsed="false">
      <c r="A363" s="6"/>
      <c r="B363" s="6"/>
      <c r="C363" s="8" t="s">
        <v>44</v>
      </c>
      <c r="D363" s="9" t="n">
        <v>80</v>
      </c>
      <c r="E363" s="9" t="n">
        <v>100</v>
      </c>
      <c r="F363" s="8" t="s">
        <v>15</v>
      </c>
    </row>
    <row r="364" customFormat="false" ht="15" hidden="false" customHeight="false" outlineLevel="0" collapsed="false">
      <c r="A364" s="6"/>
      <c r="B364" s="6"/>
      <c r="C364" s="8" t="s">
        <v>33</v>
      </c>
      <c r="D364" s="9" t="n">
        <v>60</v>
      </c>
      <c r="E364" s="9" t="n">
        <v>80</v>
      </c>
      <c r="F364" s="8" t="s">
        <v>15</v>
      </c>
    </row>
    <row r="365" customFormat="false" ht="15" hidden="false" customHeight="false" outlineLevel="0" collapsed="false">
      <c r="A365" s="6"/>
      <c r="B365" s="6"/>
      <c r="C365" s="8" t="s">
        <v>35</v>
      </c>
      <c r="D365" s="9" t="n">
        <v>30</v>
      </c>
      <c r="E365" s="9" t="n">
        <v>30</v>
      </c>
      <c r="F365" s="8" t="s">
        <v>15</v>
      </c>
    </row>
    <row r="366" customFormat="false" ht="15" hidden="false" customHeight="false" outlineLevel="0" collapsed="false">
      <c r="A366" s="6"/>
      <c r="B366" s="6"/>
      <c r="C366" s="8" t="s">
        <v>28</v>
      </c>
      <c r="D366" s="9" t="n">
        <v>10</v>
      </c>
      <c r="E366" s="9" t="n">
        <v>7</v>
      </c>
      <c r="F366" s="8" t="s">
        <v>15</v>
      </c>
    </row>
    <row r="367" customFormat="false" ht="15" hidden="false" customHeight="true" outlineLevel="0" collapsed="false">
      <c r="A367" s="18" t="s">
        <v>36</v>
      </c>
      <c r="B367" s="19" t="s">
        <v>37</v>
      </c>
      <c r="C367" s="20" t="s">
        <v>38</v>
      </c>
      <c r="D367" s="21" t="n">
        <v>125</v>
      </c>
      <c r="E367" s="21" t="n">
        <v>125</v>
      </c>
      <c r="F367" s="20" t="s">
        <v>15</v>
      </c>
    </row>
    <row r="368" customFormat="false" ht="15" hidden="false" customHeight="false" outlineLevel="0" collapsed="false">
      <c r="A368" s="18"/>
      <c r="B368" s="18"/>
      <c r="C368" s="20" t="s">
        <v>39</v>
      </c>
      <c r="D368" s="21" t="n">
        <v>10</v>
      </c>
      <c r="E368" s="21" t="n">
        <v>10</v>
      </c>
      <c r="F368" s="20" t="s">
        <v>15</v>
      </c>
    </row>
    <row r="370" customFormat="false" ht="19.5" hidden="false" customHeight="true" outlineLevel="0" collapsed="false">
      <c r="A370" s="5" t="s">
        <v>101</v>
      </c>
      <c r="B370" s="5"/>
      <c r="C370" s="5"/>
      <c r="D370" s="5"/>
      <c r="E370" s="5"/>
      <c r="F370" s="5"/>
    </row>
    <row r="371" customFormat="false" ht="15" hidden="false" customHeight="true" outlineLevel="0" collapsed="false">
      <c r="A371" s="6" t="s">
        <v>10</v>
      </c>
      <c r="B371" s="7" t="s">
        <v>11</v>
      </c>
      <c r="C371" s="8" t="s">
        <v>12</v>
      </c>
      <c r="D371" s="9" t="n">
        <v>250</v>
      </c>
      <c r="E371" s="9"/>
      <c r="F371" s="8" t="s">
        <v>13</v>
      </c>
    </row>
    <row r="372" customFormat="false" ht="15" hidden="false" customHeight="false" outlineLevel="0" collapsed="false">
      <c r="A372" s="6"/>
      <c r="B372" s="6"/>
      <c r="C372" s="8" t="s">
        <v>14</v>
      </c>
      <c r="D372" s="9" t="n">
        <v>100</v>
      </c>
      <c r="E372" s="9"/>
      <c r="F372" s="8" t="s">
        <v>15</v>
      </c>
    </row>
    <row r="373" customFormat="false" ht="15" hidden="false" customHeight="false" outlineLevel="0" collapsed="false">
      <c r="A373" s="6"/>
      <c r="B373" s="6"/>
      <c r="C373" s="8" t="s">
        <v>16</v>
      </c>
      <c r="D373" s="9" t="n">
        <v>65</v>
      </c>
      <c r="E373" s="9"/>
      <c r="F373" s="8" t="s">
        <v>15</v>
      </c>
    </row>
    <row r="374" customFormat="false" ht="15" hidden="false" customHeight="false" outlineLevel="0" collapsed="false">
      <c r="A374" s="6"/>
      <c r="B374" s="6"/>
      <c r="C374" s="8" t="s">
        <v>17</v>
      </c>
      <c r="D374" s="9" t="n">
        <v>1</v>
      </c>
      <c r="E374" s="9" t="n">
        <v>2</v>
      </c>
      <c r="F374" s="8" t="s">
        <v>18</v>
      </c>
    </row>
    <row r="375" customFormat="false" ht="15" hidden="false" customHeight="false" outlineLevel="0" collapsed="false">
      <c r="A375" s="6"/>
      <c r="B375" s="6"/>
      <c r="C375" s="8" t="s">
        <v>19</v>
      </c>
      <c r="D375" s="9"/>
      <c r="E375" s="9" t="n">
        <v>30</v>
      </c>
      <c r="F375" s="8" t="s">
        <v>15</v>
      </c>
    </row>
    <row r="376" customFormat="false" ht="15" hidden="false" customHeight="false" outlineLevel="0" collapsed="false">
      <c r="A376" s="6"/>
      <c r="B376" s="6"/>
      <c r="C376" s="8" t="s">
        <v>20</v>
      </c>
      <c r="D376" s="9"/>
      <c r="E376" s="9" t="n">
        <v>80</v>
      </c>
      <c r="F376" s="8" t="s">
        <v>15</v>
      </c>
    </row>
    <row r="377" customFormat="false" ht="15" hidden="false" customHeight="false" outlineLevel="0" collapsed="false">
      <c r="A377" s="6"/>
      <c r="B377" s="6"/>
      <c r="C377" s="8" t="s">
        <v>21</v>
      </c>
      <c r="D377" s="9"/>
      <c r="E377" s="9" t="n">
        <v>40</v>
      </c>
      <c r="F377" s="8" t="s">
        <v>15</v>
      </c>
    </row>
    <row r="378" customFormat="false" ht="15" hidden="false" customHeight="false" outlineLevel="0" collapsed="false">
      <c r="A378" s="6"/>
      <c r="B378" s="6"/>
      <c r="C378" s="8" t="s">
        <v>22</v>
      </c>
      <c r="D378" s="9"/>
      <c r="E378" s="9" t="n">
        <v>150</v>
      </c>
      <c r="F378" s="8" t="s">
        <v>15</v>
      </c>
    </row>
    <row r="379" customFormat="false" ht="15" hidden="false" customHeight="true" outlineLevel="0" collapsed="false">
      <c r="A379" s="10" t="s">
        <v>23</v>
      </c>
      <c r="B379" s="11" t="s">
        <v>41</v>
      </c>
      <c r="C379" s="12" t="s">
        <v>25</v>
      </c>
      <c r="D379" s="13" t="n">
        <v>100</v>
      </c>
      <c r="E379" s="13" t="n">
        <v>80</v>
      </c>
      <c r="F379" s="12" t="s">
        <v>15</v>
      </c>
    </row>
    <row r="380" customFormat="false" ht="15" hidden="false" customHeight="false" outlineLevel="0" collapsed="false">
      <c r="A380" s="10"/>
      <c r="B380" s="10"/>
      <c r="C380" s="12" t="s">
        <v>42</v>
      </c>
      <c r="D380" s="13" t="n">
        <v>140</v>
      </c>
      <c r="E380" s="13" t="n">
        <v>120</v>
      </c>
      <c r="F380" s="12" t="s">
        <v>15</v>
      </c>
    </row>
    <row r="381" customFormat="false" ht="15" hidden="false" customHeight="false" outlineLevel="0" collapsed="false">
      <c r="A381" s="10"/>
      <c r="B381" s="10"/>
      <c r="C381" s="12" t="s">
        <v>43</v>
      </c>
      <c r="D381" s="13" t="n">
        <v>50</v>
      </c>
      <c r="E381" s="13" t="n">
        <v>20</v>
      </c>
      <c r="F381" s="12" t="s">
        <v>15</v>
      </c>
    </row>
    <row r="382" customFormat="false" ht="15" hidden="false" customHeight="false" outlineLevel="0" collapsed="false">
      <c r="A382" s="10"/>
      <c r="B382" s="10"/>
      <c r="C382" s="12" t="s">
        <v>20</v>
      </c>
      <c r="D382" s="13" t="n">
        <v>120</v>
      </c>
      <c r="E382" s="13" t="n">
        <v>150</v>
      </c>
      <c r="F382" s="12" t="s">
        <v>15</v>
      </c>
    </row>
    <row r="383" customFormat="false" ht="15" hidden="false" customHeight="false" outlineLevel="0" collapsed="false">
      <c r="A383" s="10"/>
      <c r="B383" s="10"/>
      <c r="C383" s="12" t="s">
        <v>35</v>
      </c>
      <c r="D383" s="13" t="n">
        <v>40</v>
      </c>
      <c r="E383" s="13" t="n">
        <v>40</v>
      </c>
      <c r="F383" s="12" t="s">
        <v>15</v>
      </c>
    </row>
    <row r="384" customFormat="false" ht="15" hidden="false" customHeight="false" outlineLevel="0" collapsed="false">
      <c r="A384" s="10"/>
      <c r="B384" s="10"/>
      <c r="C384" s="12" t="s">
        <v>44</v>
      </c>
      <c r="D384" s="13" t="n">
        <v>80</v>
      </c>
      <c r="E384" s="13" t="n">
        <v>100</v>
      </c>
      <c r="F384" s="12" t="s">
        <v>15</v>
      </c>
    </row>
    <row r="385" customFormat="false" ht="15" hidden="false" customHeight="false" outlineLevel="0" collapsed="false">
      <c r="A385" s="10"/>
      <c r="B385" s="10"/>
      <c r="C385" s="12" t="s">
        <v>28</v>
      </c>
      <c r="D385" s="13" t="n">
        <v>10</v>
      </c>
      <c r="E385" s="13" t="n">
        <v>7</v>
      </c>
      <c r="F385" s="12" t="s">
        <v>15</v>
      </c>
    </row>
    <row r="386" customFormat="false" ht="15" hidden="false" customHeight="true" outlineLevel="0" collapsed="false">
      <c r="A386" s="6" t="s">
        <v>29</v>
      </c>
      <c r="B386" s="7" t="s">
        <v>102</v>
      </c>
      <c r="C386" s="8" t="s">
        <v>66</v>
      </c>
      <c r="D386" s="9" t="n">
        <v>105</v>
      </c>
      <c r="E386" s="9" t="n">
        <v>60</v>
      </c>
      <c r="F386" s="8" t="s">
        <v>15</v>
      </c>
    </row>
    <row r="387" customFormat="false" ht="15" hidden="false" customHeight="false" outlineLevel="0" collapsed="false">
      <c r="A387" s="6"/>
      <c r="B387" s="6"/>
      <c r="C387" s="8" t="s">
        <v>80</v>
      </c>
      <c r="D387" s="9" t="n">
        <v>60</v>
      </c>
      <c r="E387" s="9" t="n">
        <v>40</v>
      </c>
      <c r="F387" s="8" t="s">
        <v>15</v>
      </c>
    </row>
    <row r="388" customFormat="false" ht="15" hidden="false" customHeight="false" outlineLevel="0" collapsed="false">
      <c r="A388" s="6"/>
      <c r="B388" s="6"/>
      <c r="C388" s="8" t="s">
        <v>19</v>
      </c>
      <c r="D388" s="9" t="n">
        <v>40</v>
      </c>
      <c r="E388" s="9" t="n">
        <v>30</v>
      </c>
      <c r="F388" s="8" t="s">
        <v>15</v>
      </c>
    </row>
    <row r="389" customFormat="false" ht="15" hidden="false" customHeight="false" outlineLevel="0" collapsed="false">
      <c r="A389" s="6"/>
      <c r="B389" s="6"/>
      <c r="C389" s="8" t="s">
        <v>17</v>
      </c>
      <c r="D389" s="9" t="n">
        <v>1</v>
      </c>
      <c r="E389" s="9" t="n">
        <v>1</v>
      </c>
      <c r="F389" s="8" t="s">
        <v>18</v>
      </c>
    </row>
    <row r="390" customFormat="false" ht="15" hidden="false" customHeight="false" outlineLevel="0" collapsed="false">
      <c r="A390" s="6"/>
      <c r="B390" s="6"/>
      <c r="C390" s="8" t="s">
        <v>67</v>
      </c>
      <c r="D390" s="9" t="n">
        <v>60</v>
      </c>
      <c r="E390" s="9" t="n">
        <v>60</v>
      </c>
      <c r="F390" s="8" t="s">
        <v>15</v>
      </c>
    </row>
    <row r="391" customFormat="false" ht="15" hidden="false" customHeight="false" outlineLevel="0" collapsed="false">
      <c r="A391" s="6"/>
      <c r="B391" s="6"/>
      <c r="C391" s="8" t="s">
        <v>33</v>
      </c>
      <c r="D391" s="9" t="n">
        <v>120</v>
      </c>
      <c r="E391" s="9" t="n">
        <v>150</v>
      </c>
      <c r="F391" s="8" t="s">
        <v>15</v>
      </c>
    </row>
    <row r="392" customFormat="false" ht="15" hidden="false" customHeight="false" outlineLevel="0" collapsed="false">
      <c r="A392" s="6"/>
      <c r="B392" s="6"/>
      <c r="C392" s="8" t="s">
        <v>28</v>
      </c>
      <c r="D392" s="9" t="n">
        <v>5</v>
      </c>
      <c r="E392" s="9" t="n">
        <v>3</v>
      </c>
      <c r="F392" s="8" t="s">
        <v>15</v>
      </c>
    </row>
    <row r="393" customFormat="false" ht="15" hidden="false" customHeight="false" outlineLevel="0" collapsed="false">
      <c r="A393" s="18" t="s">
        <v>36</v>
      </c>
      <c r="B393" s="19" t="s">
        <v>68</v>
      </c>
      <c r="C393" s="20" t="s">
        <v>39</v>
      </c>
      <c r="D393" s="21" t="n">
        <v>15</v>
      </c>
      <c r="E393" s="21" t="n">
        <v>10</v>
      </c>
      <c r="F393" s="20" t="s">
        <v>15</v>
      </c>
    </row>
    <row r="395" customFormat="false" ht="19.5" hidden="false" customHeight="true" outlineLevel="0" collapsed="false">
      <c r="A395" s="5" t="s">
        <v>103</v>
      </c>
      <c r="B395" s="5"/>
      <c r="C395" s="5"/>
      <c r="D395" s="5"/>
      <c r="E395" s="5"/>
      <c r="F395" s="5"/>
    </row>
    <row r="396" customFormat="false" ht="15" hidden="false" customHeight="true" outlineLevel="0" collapsed="false">
      <c r="A396" s="6" t="s">
        <v>10</v>
      </c>
      <c r="B396" s="7" t="s">
        <v>11</v>
      </c>
      <c r="C396" s="8" t="s">
        <v>12</v>
      </c>
      <c r="D396" s="9" t="n">
        <v>250</v>
      </c>
      <c r="E396" s="9"/>
      <c r="F396" s="8" t="s">
        <v>13</v>
      </c>
    </row>
    <row r="397" customFormat="false" ht="15" hidden="false" customHeight="false" outlineLevel="0" collapsed="false">
      <c r="A397" s="6"/>
      <c r="B397" s="6"/>
      <c r="C397" s="8" t="s">
        <v>14</v>
      </c>
      <c r="D397" s="9" t="n">
        <v>100</v>
      </c>
      <c r="E397" s="9"/>
      <c r="F397" s="8" t="s">
        <v>15</v>
      </c>
    </row>
    <row r="398" customFormat="false" ht="15" hidden="false" customHeight="false" outlineLevel="0" collapsed="false">
      <c r="A398" s="6"/>
      <c r="B398" s="6"/>
      <c r="C398" s="8" t="s">
        <v>16</v>
      </c>
      <c r="D398" s="9" t="n">
        <v>65</v>
      </c>
      <c r="E398" s="9"/>
      <c r="F398" s="8" t="s">
        <v>15</v>
      </c>
    </row>
    <row r="399" customFormat="false" ht="15" hidden="false" customHeight="false" outlineLevel="0" collapsed="false">
      <c r="A399" s="6"/>
      <c r="B399" s="6"/>
      <c r="C399" s="8" t="s">
        <v>17</v>
      </c>
      <c r="D399" s="9" t="n">
        <v>1</v>
      </c>
      <c r="E399" s="9" t="n">
        <v>2</v>
      </c>
      <c r="F399" s="8" t="s">
        <v>18</v>
      </c>
    </row>
    <row r="400" customFormat="false" ht="15" hidden="false" customHeight="false" outlineLevel="0" collapsed="false">
      <c r="A400" s="6"/>
      <c r="B400" s="6"/>
      <c r="C400" s="8" t="s">
        <v>19</v>
      </c>
      <c r="D400" s="9"/>
      <c r="E400" s="9" t="n">
        <v>30</v>
      </c>
      <c r="F400" s="8" t="s">
        <v>15</v>
      </c>
    </row>
    <row r="401" customFormat="false" ht="15" hidden="false" customHeight="false" outlineLevel="0" collapsed="false">
      <c r="A401" s="6"/>
      <c r="B401" s="6"/>
      <c r="C401" s="8" t="s">
        <v>20</v>
      </c>
      <c r="D401" s="9"/>
      <c r="E401" s="9" t="n">
        <v>80</v>
      </c>
      <c r="F401" s="8" t="s">
        <v>15</v>
      </c>
    </row>
    <row r="402" customFormat="false" ht="15" hidden="false" customHeight="false" outlineLevel="0" collapsed="false">
      <c r="A402" s="6"/>
      <c r="B402" s="6"/>
      <c r="C402" s="8" t="s">
        <v>21</v>
      </c>
      <c r="D402" s="9"/>
      <c r="E402" s="9" t="n">
        <v>40</v>
      </c>
      <c r="F402" s="8" t="s">
        <v>15</v>
      </c>
    </row>
    <row r="403" customFormat="false" ht="15" hidden="false" customHeight="false" outlineLevel="0" collapsed="false">
      <c r="A403" s="6"/>
      <c r="B403" s="6"/>
      <c r="C403" s="8" t="s">
        <v>22</v>
      </c>
      <c r="D403" s="9"/>
      <c r="E403" s="9" t="n">
        <v>150</v>
      </c>
      <c r="F403" s="8" t="s">
        <v>15</v>
      </c>
    </row>
    <row r="404" customFormat="false" ht="15" hidden="false" customHeight="true" outlineLevel="0" collapsed="false">
      <c r="A404" s="10" t="s">
        <v>23</v>
      </c>
      <c r="B404" s="11" t="s">
        <v>104</v>
      </c>
      <c r="C404" s="12" t="s">
        <v>42</v>
      </c>
      <c r="D404" s="13" t="n">
        <v>150</v>
      </c>
      <c r="E404" s="13" t="n">
        <v>120</v>
      </c>
      <c r="F404" s="12" t="s">
        <v>15</v>
      </c>
    </row>
    <row r="405" customFormat="false" ht="15" hidden="false" customHeight="false" outlineLevel="0" collapsed="false">
      <c r="A405" s="10"/>
      <c r="B405" s="10"/>
      <c r="C405" s="12" t="s">
        <v>17</v>
      </c>
      <c r="D405" s="13" t="n">
        <v>2</v>
      </c>
      <c r="E405" s="13" t="n">
        <v>2</v>
      </c>
      <c r="F405" s="12" t="s">
        <v>18</v>
      </c>
    </row>
    <row r="406" customFormat="false" ht="15" hidden="false" customHeight="false" outlineLevel="0" collapsed="false">
      <c r="A406" s="10"/>
      <c r="B406" s="10"/>
      <c r="C406" s="12" t="s">
        <v>20</v>
      </c>
      <c r="D406" s="13" t="n">
        <v>150</v>
      </c>
      <c r="E406" s="13" t="n">
        <v>180</v>
      </c>
      <c r="F406" s="12" t="s">
        <v>15</v>
      </c>
    </row>
    <row r="407" customFormat="false" ht="15" hidden="false" customHeight="false" outlineLevel="0" collapsed="false">
      <c r="A407" s="10"/>
      <c r="B407" s="10"/>
      <c r="C407" s="12" t="s">
        <v>35</v>
      </c>
      <c r="D407" s="13" t="n">
        <v>30</v>
      </c>
      <c r="E407" s="13" t="n">
        <v>30</v>
      </c>
      <c r="F407" s="12" t="s">
        <v>15</v>
      </c>
    </row>
    <row r="408" customFormat="false" ht="15" hidden="false" customHeight="false" outlineLevel="0" collapsed="false">
      <c r="A408" s="10"/>
      <c r="B408" s="10"/>
      <c r="C408" s="12" t="s">
        <v>26</v>
      </c>
      <c r="D408" s="13" t="n">
        <v>240</v>
      </c>
      <c r="E408" s="13" t="n">
        <v>90</v>
      </c>
      <c r="F408" s="12" t="s">
        <v>15</v>
      </c>
    </row>
    <row r="409" customFormat="false" ht="15" hidden="false" customHeight="false" outlineLevel="0" collapsed="false">
      <c r="A409" s="10"/>
      <c r="B409" s="10"/>
      <c r="C409" s="12" t="s">
        <v>28</v>
      </c>
      <c r="D409" s="13" t="n">
        <v>10</v>
      </c>
      <c r="E409" s="13" t="n">
        <v>7</v>
      </c>
      <c r="F409" s="12" t="s">
        <v>15</v>
      </c>
    </row>
    <row r="410" customFormat="false" ht="15" hidden="false" customHeight="true" outlineLevel="0" collapsed="false">
      <c r="A410" s="6" t="s">
        <v>29</v>
      </c>
      <c r="B410" s="7" t="s">
        <v>105</v>
      </c>
      <c r="C410" s="8" t="s">
        <v>51</v>
      </c>
      <c r="D410" s="9" t="n">
        <v>120</v>
      </c>
      <c r="E410" s="9" t="n">
        <v>95</v>
      </c>
      <c r="F410" s="8" t="s">
        <v>15</v>
      </c>
    </row>
    <row r="411" customFormat="false" ht="15" hidden="false" customHeight="false" outlineLevel="0" collapsed="false">
      <c r="A411" s="6"/>
      <c r="B411" s="6"/>
      <c r="C411" s="8" t="s">
        <v>95</v>
      </c>
      <c r="D411" s="9" t="n">
        <v>2</v>
      </c>
      <c r="E411" s="9" t="n">
        <v>1</v>
      </c>
      <c r="F411" s="8" t="s">
        <v>18</v>
      </c>
    </row>
    <row r="412" customFormat="false" ht="15" hidden="false" customHeight="false" outlineLevel="0" collapsed="false">
      <c r="A412" s="6"/>
      <c r="B412" s="6"/>
      <c r="C412" s="8" t="s">
        <v>20</v>
      </c>
      <c r="D412" s="9" t="n">
        <v>80</v>
      </c>
      <c r="E412" s="9" t="n">
        <v>100</v>
      </c>
      <c r="F412" s="8" t="s">
        <v>15</v>
      </c>
    </row>
    <row r="413" customFormat="false" ht="15" hidden="false" customHeight="false" outlineLevel="0" collapsed="false">
      <c r="A413" s="6"/>
      <c r="B413" s="6"/>
      <c r="C413" s="8" t="s">
        <v>57</v>
      </c>
      <c r="D413" s="9" t="n">
        <v>70</v>
      </c>
      <c r="E413" s="9" t="n">
        <v>50</v>
      </c>
      <c r="F413" s="8" t="s">
        <v>15</v>
      </c>
    </row>
    <row r="414" customFormat="false" ht="15" hidden="false" customHeight="false" outlineLevel="0" collapsed="false">
      <c r="A414" s="6"/>
      <c r="B414" s="6"/>
      <c r="C414" s="8" t="s">
        <v>35</v>
      </c>
      <c r="D414" s="9" t="n">
        <v>20</v>
      </c>
      <c r="E414" s="9" t="n">
        <v>20</v>
      </c>
      <c r="F414" s="8" t="s">
        <v>15</v>
      </c>
    </row>
    <row r="415" customFormat="false" ht="15" hidden="false" customHeight="false" outlineLevel="0" collapsed="false">
      <c r="A415" s="6"/>
      <c r="B415" s="6"/>
      <c r="C415" s="8" t="s">
        <v>46</v>
      </c>
      <c r="D415" s="9" t="n">
        <v>30</v>
      </c>
      <c r="E415" s="9" t="n">
        <v>40</v>
      </c>
      <c r="F415" s="8" t="s">
        <v>15</v>
      </c>
    </row>
    <row r="416" customFormat="false" ht="15" hidden="false" customHeight="false" outlineLevel="0" collapsed="false">
      <c r="A416" s="6"/>
      <c r="B416" s="6"/>
      <c r="C416" s="8" t="s">
        <v>55</v>
      </c>
      <c r="D416" s="9" t="n">
        <v>15</v>
      </c>
      <c r="E416" s="9" t="n">
        <v>10</v>
      </c>
      <c r="F416" s="8" t="s">
        <v>15</v>
      </c>
    </row>
    <row r="417" customFormat="false" ht="15" hidden="false" customHeight="false" outlineLevel="0" collapsed="false">
      <c r="A417" s="6"/>
      <c r="B417" s="6"/>
      <c r="C417" s="8" t="s">
        <v>28</v>
      </c>
      <c r="D417" s="9" t="n">
        <v>6</v>
      </c>
      <c r="E417" s="9" t="n">
        <v>4</v>
      </c>
      <c r="F417" s="8" t="s">
        <v>15</v>
      </c>
    </row>
    <row r="418" customFormat="false" ht="15" hidden="false" customHeight="true" outlineLevel="0" collapsed="false">
      <c r="A418" s="18" t="s">
        <v>36</v>
      </c>
      <c r="B418" s="19" t="s">
        <v>37</v>
      </c>
      <c r="C418" s="20" t="s">
        <v>38</v>
      </c>
      <c r="D418" s="21" t="n">
        <v>125</v>
      </c>
      <c r="E418" s="21" t="n">
        <v>125</v>
      </c>
      <c r="F418" s="20" t="s">
        <v>15</v>
      </c>
    </row>
    <row r="419" customFormat="false" ht="15" hidden="false" customHeight="false" outlineLevel="0" collapsed="false">
      <c r="A419" s="18"/>
      <c r="B419" s="18"/>
      <c r="C419" s="20" t="s">
        <v>39</v>
      </c>
      <c r="D419" s="21" t="n">
        <v>10</v>
      </c>
      <c r="E419" s="21" t="n">
        <v>10</v>
      </c>
      <c r="F419" s="20" t="s">
        <v>15</v>
      </c>
    </row>
    <row r="421" customFormat="false" ht="19.5" hidden="false" customHeight="true" outlineLevel="0" collapsed="false">
      <c r="A421" s="5" t="s">
        <v>106</v>
      </c>
      <c r="B421" s="5"/>
      <c r="C421" s="5"/>
      <c r="D421" s="5"/>
      <c r="E421" s="5"/>
      <c r="F421" s="5"/>
    </row>
    <row r="422" customFormat="false" ht="15" hidden="false" customHeight="true" outlineLevel="0" collapsed="false">
      <c r="A422" s="6" t="s">
        <v>10</v>
      </c>
      <c r="B422" s="7" t="s">
        <v>11</v>
      </c>
      <c r="C422" s="8" t="s">
        <v>12</v>
      </c>
      <c r="D422" s="9" t="n">
        <v>250</v>
      </c>
      <c r="E422" s="9"/>
      <c r="F422" s="8" t="s">
        <v>13</v>
      </c>
    </row>
    <row r="423" customFormat="false" ht="15" hidden="false" customHeight="false" outlineLevel="0" collapsed="false">
      <c r="A423" s="6"/>
      <c r="B423" s="6"/>
      <c r="C423" s="8" t="s">
        <v>14</v>
      </c>
      <c r="D423" s="9" t="n">
        <v>100</v>
      </c>
      <c r="E423" s="9"/>
      <c r="F423" s="8" t="s">
        <v>15</v>
      </c>
    </row>
    <row r="424" customFormat="false" ht="15" hidden="false" customHeight="false" outlineLevel="0" collapsed="false">
      <c r="A424" s="6"/>
      <c r="B424" s="6"/>
      <c r="C424" s="8" t="s">
        <v>16</v>
      </c>
      <c r="D424" s="9" t="n">
        <v>65</v>
      </c>
      <c r="E424" s="9"/>
      <c r="F424" s="8" t="s">
        <v>15</v>
      </c>
    </row>
    <row r="425" customFormat="false" ht="15" hidden="false" customHeight="false" outlineLevel="0" collapsed="false">
      <c r="A425" s="6"/>
      <c r="B425" s="6"/>
      <c r="C425" s="8" t="s">
        <v>17</v>
      </c>
      <c r="D425" s="9" t="n">
        <v>1</v>
      </c>
      <c r="E425" s="9" t="n">
        <v>2</v>
      </c>
      <c r="F425" s="8" t="s">
        <v>18</v>
      </c>
    </row>
    <row r="426" customFormat="false" ht="15" hidden="false" customHeight="false" outlineLevel="0" collapsed="false">
      <c r="A426" s="6"/>
      <c r="B426" s="6"/>
      <c r="C426" s="8" t="s">
        <v>19</v>
      </c>
      <c r="D426" s="9"/>
      <c r="E426" s="9" t="n">
        <v>30</v>
      </c>
      <c r="F426" s="8" t="s">
        <v>15</v>
      </c>
    </row>
    <row r="427" customFormat="false" ht="15" hidden="false" customHeight="false" outlineLevel="0" collapsed="false">
      <c r="A427" s="6"/>
      <c r="B427" s="6"/>
      <c r="C427" s="8" t="s">
        <v>20</v>
      </c>
      <c r="D427" s="9"/>
      <c r="E427" s="9" t="n">
        <v>80</v>
      </c>
      <c r="F427" s="8" t="s">
        <v>15</v>
      </c>
    </row>
    <row r="428" customFormat="false" ht="15" hidden="false" customHeight="false" outlineLevel="0" collapsed="false">
      <c r="A428" s="6"/>
      <c r="B428" s="6"/>
      <c r="C428" s="8" t="s">
        <v>21</v>
      </c>
      <c r="D428" s="9"/>
      <c r="E428" s="9" t="n">
        <v>40</v>
      </c>
      <c r="F428" s="8" t="s">
        <v>15</v>
      </c>
    </row>
    <row r="429" customFormat="false" ht="15" hidden="false" customHeight="false" outlineLevel="0" collapsed="false">
      <c r="A429" s="6"/>
      <c r="B429" s="6"/>
      <c r="C429" s="8" t="s">
        <v>22</v>
      </c>
      <c r="D429" s="9"/>
      <c r="E429" s="9" t="n">
        <v>150</v>
      </c>
      <c r="F429" s="8" t="s">
        <v>15</v>
      </c>
    </row>
    <row r="430" customFormat="false" ht="15" hidden="false" customHeight="true" outlineLevel="0" collapsed="false">
      <c r="A430" s="22" t="s">
        <v>23</v>
      </c>
      <c r="B430" s="23" t="s">
        <v>107</v>
      </c>
      <c r="C430" s="24" t="s">
        <v>51</v>
      </c>
      <c r="D430" s="25" t="n">
        <v>100</v>
      </c>
      <c r="E430" s="25" t="n">
        <v>80</v>
      </c>
      <c r="F430" s="24" t="s">
        <v>15</v>
      </c>
    </row>
    <row r="431" customFormat="false" ht="15" hidden="false" customHeight="false" outlineLevel="0" collapsed="false">
      <c r="A431" s="22"/>
      <c r="B431" s="22"/>
      <c r="C431" s="24" t="s">
        <v>25</v>
      </c>
      <c r="D431" s="25" t="n">
        <v>100</v>
      </c>
      <c r="E431" s="25" t="n">
        <v>80</v>
      </c>
      <c r="F431" s="24" t="s">
        <v>15</v>
      </c>
    </row>
    <row r="432" customFormat="false" ht="15" hidden="false" customHeight="false" outlineLevel="0" collapsed="false">
      <c r="A432" s="22"/>
      <c r="B432" s="22"/>
      <c r="C432" s="24" t="s">
        <v>26</v>
      </c>
      <c r="D432" s="25" t="n">
        <v>300</v>
      </c>
      <c r="E432" s="25" t="n">
        <v>140</v>
      </c>
      <c r="F432" s="24" t="s">
        <v>15</v>
      </c>
    </row>
    <row r="433" customFormat="false" ht="15" hidden="false" customHeight="false" outlineLevel="0" collapsed="false">
      <c r="A433" s="22"/>
      <c r="B433" s="22"/>
      <c r="C433" s="24" t="s">
        <v>33</v>
      </c>
      <c r="D433" s="25" t="n">
        <v>120</v>
      </c>
      <c r="E433" s="25" t="n">
        <v>150</v>
      </c>
      <c r="F433" s="24" t="s">
        <v>15</v>
      </c>
    </row>
    <row r="434" customFormat="false" ht="15" hidden="false" customHeight="false" outlineLevel="0" collapsed="false">
      <c r="A434" s="22"/>
      <c r="B434" s="22"/>
      <c r="C434" s="24" t="s">
        <v>72</v>
      </c>
      <c r="D434" s="25" t="n">
        <v>110</v>
      </c>
      <c r="E434" s="25" t="n">
        <v>140</v>
      </c>
      <c r="F434" s="24" t="s">
        <v>15</v>
      </c>
    </row>
    <row r="435" customFormat="false" ht="15" hidden="false" customHeight="false" outlineLevel="0" collapsed="false">
      <c r="A435" s="22"/>
      <c r="B435" s="22"/>
      <c r="C435" s="24" t="s">
        <v>35</v>
      </c>
      <c r="D435" s="25" t="n">
        <v>20</v>
      </c>
      <c r="E435" s="25" t="n">
        <v>20</v>
      </c>
      <c r="F435" s="24" t="s">
        <v>15</v>
      </c>
    </row>
    <row r="436" customFormat="false" ht="15" hidden="false" customHeight="false" outlineLevel="0" collapsed="false">
      <c r="A436" s="22"/>
      <c r="B436" s="22"/>
      <c r="C436" s="24" t="s">
        <v>28</v>
      </c>
      <c r="D436" s="25" t="n">
        <v>12</v>
      </c>
      <c r="E436" s="25" t="n">
        <v>8</v>
      </c>
      <c r="F436" s="24" t="s">
        <v>15</v>
      </c>
    </row>
    <row r="437" customFormat="false" ht="15" hidden="false" customHeight="true" outlineLevel="0" collapsed="false">
      <c r="A437" s="6" t="s">
        <v>29</v>
      </c>
      <c r="B437" s="7" t="s">
        <v>108</v>
      </c>
      <c r="C437" s="8" t="s">
        <v>25</v>
      </c>
      <c r="D437" s="9" t="n">
        <v>110</v>
      </c>
      <c r="E437" s="9" t="n">
        <v>90</v>
      </c>
      <c r="F437" s="8" t="s">
        <v>15</v>
      </c>
    </row>
    <row r="438" customFormat="false" ht="15" hidden="false" customHeight="false" outlineLevel="0" collapsed="false">
      <c r="A438" s="6"/>
      <c r="B438" s="6"/>
      <c r="C438" s="8" t="s">
        <v>57</v>
      </c>
      <c r="D438" s="9" t="n">
        <v>80</v>
      </c>
      <c r="E438" s="9" t="n">
        <v>60</v>
      </c>
      <c r="F438" s="8" t="s">
        <v>15</v>
      </c>
    </row>
    <row r="439" customFormat="false" ht="15" hidden="false" customHeight="false" outlineLevel="0" collapsed="false">
      <c r="A439" s="6"/>
      <c r="B439" s="6"/>
      <c r="C439" s="8" t="s">
        <v>20</v>
      </c>
      <c r="D439" s="9" t="n">
        <v>120</v>
      </c>
      <c r="E439" s="9" t="n">
        <v>150</v>
      </c>
      <c r="F439" s="8" t="s">
        <v>15</v>
      </c>
    </row>
    <row r="440" customFormat="false" ht="15" hidden="false" customHeight="false" outlineLevel="0" collapsed="false">
      <c r="A440" s="6"/>
      <c r="B440" s="6"/>
      <c r="C440" s="8" t="s">
        <v>46</v>
      </c>
      <c r="D440" s="9" t="n">
        <v>40</v>
      </c>
      <c r="E440" s="9" t="n">
        <v>60</v>
      </c>
      <c r="F440" s="8" t="s">
        <v>15</v>
      </c>
    </row>
    <row r="441" customFormat="false" ht="15" hidden="false" customHeight="false" outlineLevel="0" collapsed="false">
      <c r="A441" s="6"/>
      <c r="B441" s="6"/>
      <c r="C441" s="8" t="s">
        <v>44</v>
      </c>
      <c r="D441" s="9" t="n">
        <v>60</v>
      </c>
      <c r="E441" s="9" t="n">
        <v>80</v>
      </c>
      <c r="F441" s="8" t="s">
        <v>15</v>
      </c>
    </row>
    <row r="442" customFormat="false" ht="15" hidden="false" customHeight="false" outlineLevel="0" collapsed="false">
      <c r="A442" s="6"/>
      <c r="B442" s="6"/>
      <c r="C442" s="8" t="s">
        <v>26</v>
      </c>
      <c r="D442" s="9" t="n">
        <v>240</v>
      </c>
      <c r="E442" s="9" t="n">
        <v>90</v>
      </c>
      <c r="F442" s="8" t="s">
        <v>15</v>
      </c>
    </row>
    <row r="443" customFormat="false" ht="15" hidden="false" customHeight="false" outlineLevel="0" collapsed="false">
      <c r="A443" s="6"/>
      <c r="B443" s="6"/>
      <c r="C443" s="8" t="s">
        <v>28</v>
      </c>
      <c r="D443" s="9" t="n">
        <v>8</v>
      </c>
      <c r="E443" s="9" t="n">
        <v>6</v>
      </c>
      <c r="F443" s="8" t="s">
        <v>15</v>
      </c>
    </row>
    <row r="444" customFormat="false" ht="15" hidden="false" customHeight="false" outlineLevel="0" collapsed="false">
      <c r="A444" s="18" t="s">
        <v>36</v>
      </c>
      <c r="B444" s="19" t="s">
        <v>59</v>
      </c>
      <c r="C444" s="20" t="s">
        <v>59</v>
      </c>
      <c r="D444" s="21" t="n">
        <v>75</v>
      </c>
      <c r="E444" s="21" t="n">
        <v>55</v>
      </c>
      <c r="F444" s="20" t="s">
        <v>15</v>
      </c>
    </row>
    <row r="446" customFormat="false" ht="19.5" hidden="false" customHeight="true" outlineLevel="0" collapsed="false">
      <c r="A446" s="5" t="s">
        <v>109</v>
      </c>
      <c r="B446" s="5"/>
      <c r="C446" s="5"/>
      <c r="D446" s="5"/>
      <c r="E446" s="5"/>
      <c r="F446" s="5"/>
    </row>
    <row r="447" customFormat="false" ht="15" hidden="false" customHeight="true" outlineLevel="0" collapsed="false">
      <c r="A447" s="6" t="s">
        <v>10</v>
      </c>
      <c r="B447" s="7" t="s">
        <v>11</v>
      </c>
      <c r="C447" s="8" t="s">
        <v>12</v>
      </c>
      <c r="D447" s="9" t="n">
        <v>250</v>
      </c>
      <c r="E447" s="9"/>
      <c r="F447" s="8" t="s">
        <v>13</v>
      </c>
    </row>
    <row r="448" customFormat="false" ht="15" hidden="false" customHeight="false" outlineLevel="0" collapsed="false">
      <c r="A448" s="6"/>
      <c r="B448" s="6"/>
      <c r="C448" s="8" t="s">
        <v>14</v>
      </c>
      <c r="D448" s="9" t="n">
        <v>100</v>
      </c>
      <c r="E448" s="9"/>
      <c r="F448" s="8" t="s">
        <v>15</v>
      </c>
    </row>
    <row r="449" customFormat="false" ht="15" hidden="false" customHeight="false" outlineLevel="0" collapsed="false">
      <c r="A449" s="6"/>
      <c r="B449" s="6"/>
      <c r="C449" s="8" t="s">
        <v>16</v>
      </c>
      <c r="D449" s="9" t="n">
        <v>65</v>
      </c>
      <c r="E449" s="9"/>
      <c r="F449" s="8" t="s">
        <v>15</v>
      </c>
    </row>
    <row r="450" customFormat="false" ht="15" hidden="false" customHeight="false" outlineLevel="0" collapsed="false">
      <c r="A450" s="6"/>
      <c r="B450" s="6"/>
      <c r="C450" s="8" t="s">
        <v>17</v>
      </c>
      <c r="D450" s="9" t="n">
        <v>1</v>
      </c>
      <c r="E450" s="9" t="n">
        <v>2</v>
      </c>
      <c r="F450" s="8" t="s">
        <v>18</v>
      </c>
    </row>
    <row r="451" customFormat="false" ht="15" hidden="false" customHeight="false" outlineLevel="0" collapsed="false">
      <c r="A451" s="6"/>
      <c r="B451" s="6"/>
      <c r="C451" s="8" t="s">
        <v>19</v>
      </c>
      <c r="D451" s="9"/>
      <c r="E451" s="9" t="n">
        <v>30</v>
      </c>
      <c r="F451" s="8" t="s">
        <v>15</v>
      </c>
    </row>
    <row r="452" customFormat="false" ht="15" hidden="false" customHeight="false" outlineLevel="0" collapsed="false">
      <c r="A452" s="6"/>
      <c r="B452" s="6"/>
      <c r="C452" s="8" t="s">
        <v>20</v>
      </c>
      <c r="D452" s="9"/>
      <c r="E452" s="9" t="n">
        <v>80</v>
      </c>
      <c r="F452" s="8" t="s">
        <v>15</v>
      </c>
    </row>
    <row r="453" customFormat="false" ht="15" hidden="false" customHeight="false" outlineLevel="0" collapsed="false">
      <c r="A453" s="6"/>
      <c r="B453" s="6"/>
      <c r="C453" s="8" t="s">
        <v>21</v>
      </c>
      <c r="D453" s="9"/>
      <c r="E453" s="9" t="n">
        <v>40</v>
      </c>
      <c r="F453" s="8" t="s">
        <v>15</v>
      </c>
    </row>
    <row r="454" customFormat="false" ht="15" hidden="false" customHeight="false" outlineLevel="0" collapsed="false">
      <c r="A454" s="6"/>
      <c r="B454" s="6"/>
      <c r="C454" s="8" t="s">
        <v>22</v>
      </c>
      <c r="D454" s="9"/>
      <c r="E454" s="9" t="n">
        <v>150</v>
      </c>
      <c r="F454" s="8" t="s">
        <v>15</v>
      </c>
    </row>
    <row r="455" customFormat="false" ht="15" hidden="false" customHeight="true" outlineLevel="0" collapsed="false">
      <c r="A455" s="10" t="s">
        <v>23</v>
      </c>
      <c r="B455" s="11" t="s">
        <v>61</v>
      </c>
      <c r="C455" s="12" t="s">
        <v>25</v>
      </c>
      <c r="D455" s="13" t="n">
        <v>150</v>
      </c>
      <c r="E455" s="13" t="n">
        <v>120</v>
      </c>
      <c r="F455" s="12" t="s">
        <v>15</v>
      </c>
    </row>
    <row r="456" customFormat="false" ht="15" hidden="false" customHeight="false" outlineLevel="0" collapsed="false">
      <c r="A456" s="10"/>
      <c r="B456" s="10"/>
      <c r="C456" s="12" t="s">
        <v>32</v>
      </c>
      <c r="D456" s="13" t="n">
        <v>300</v>
      </c>
      <c r="E456" s="13" t="n">
        <v>140</v>
      </c>
      <c r="F456" s="12" t="s">
        <v>15</v>
      </c>
    </row>
    <row r="457" customFormat="false" ht="15" hidden="false" customHeight="false" outlineLevel="0" collapsed="false">
      <c r="A457" s="10"/>
      <c r="B457" s="10"/>
      <c r="C457" s="12" t="s">
        <v>27</v>
      </c>
      <c r="D457" s="13" t="n">
        <v>250</v>
      </c>
      <c r="E457" s="13" t="n">
        <v>280</v>
      </c>
      <c r="F457" s="12" t="s">
        <v>15</v>
      </c>
    </row>
    <row r="458" customFormat="false" ht="15" hidden="false" customHeight="false" outlineLevel="0" collapsed="false">
      <c r="A458" s="10"/>
      <c r="B458" s="10"/>
      <c r="C458" s="12" t="s">
        <v>28</v>
      </c>
      <c r="D458" s="13" t="n">
        <v>10</v>
      </c>
      <c r="E458" s="13" t="n">
        <v>7</v>
      </c>
      <c r="F458" s="12" t="s">
        <v>15</v>
      </c>
    </row>
    <row r="459" customFormat="false" ht="15" hidden="false" customHeight="true" outlineLevel="0" collapsed="false">
      <c r="A459" s="14" t="s">
        <v>29</v>
      </c>
      <c r="B459" s="15" t="s">
        <v>110</v>
      </c>
      <c r="C459" s="16" t="s">
        <v>31</v>
      </c>
      <c r="D459" s="17" t="n">
        <v>150</v>
      </c>
      <c r="E459" s="17" t="n">
        <v>125</v>
      </c>
      <c r="F459" s="16" t="s">
        <v>15</v>
      </c>
    </row>
    <row r="460" customFormat="false" ht="15" hidden="false" customHeight="false" outlineLevel="0" collapsed="false">
      <c r="A460" s="14"/>
      <c r="B460" s="14"/>
      <c r="C460" s="16" t="s">
        <v>67</v>
      </c>
      <c r="D460" s="17" t="n">
        <v>80</v>
      </c>
      <c r="E460" s="17" t="n">
        <v>100</v>
      </c>
      <c r="F460" s="16" t="s">
        <v>15</v>
      </c>
    </row>
    <row r="461" customFormat="false" ht="15" hidden="false" customHeight="false" outlineLevel="0" collapsed="false">
      <c r="A461" s="14"/>
      <c r="B461" s="14"/>
      <c r="C461" s="16" t="s">
        <v>26</v>
      </c>
      <c r="D461" s="17" t="n">
        <v>300</v>
      </c>
      <c r="E461" s="17" t="n">
        <v>140</v>
      </c>
      <c r="F461" s="16" t="s">
        <v>15</v>
      </c>
    </row>
    <row r="462" customFormat="false" ht="15" hidden="false" customHeight="false" outlineLevel="0" collapsed="false">
      <c r="A462" s="14"/>
      <c r="B462" s="14"/>
      <c r="C462" s="16" t="s">
        <v>20</v>
      </c>
      <c r="D462" s="17" t="n">
        <v>100</v>
      </c>
      <c r="E462" s="17" t="n">
        <v>120</v>
      </c>
      <c r="F462" s="16" t="s">
        <v>15</v>
      </c>
    </row>
    <row r="463" customFormat="false" ht="15" hidden="false" customHeight="false" outlineLevel="0" collapsed="false">
      <c r="A463" s="14"/>
      <c r="B463" s="14"/>
      <c r="C463" s="16" t="s">
        <v>28</v>
      </c>
      <c r="D463" s="17" t="n">
        <v>10</v>
      </c>
      <c r="E463" s="17" t="n">
        <v>7</v>
      </c>
      <c r="F463" s="16" t="s">
        <v>15</v>
      </c>
    </row>
    <row r="464" customFormat="false" ht="15" hidden="false" customHeight="true" outlineLevel="0" collapsed="false">
      <c r="A464" s="18" t="s">
        <v>36</v>
      </c>
      <c r="B464" s="19" t="s">
        <v>37</v>
      </c>
      <c r="C464" s="20" t="s">
        <v>38</v>
      </c>
      <c r="D464" s="21" t="n">
        <v>125</v>
      </c>
      <c r="E464" s="21" t="n">
        <v>125</v>
      </c>
      <c r="F464" s="20" t="s">
        <v>15</v>
      </c>
    </row>
    <row r="465" customFormat="false" ht="15" hidden="false" customHeight="false" outlineLevel="0" collapsed="false">
      <c r="A465" s="18"/>
      <c r="B465" s="18"/>
      <c r="C465" s="20" t="s">
        <v>39</v>
      </c>
      <c r="D465" s="21" t="n">
        <v>10</v>
      </c>
      <c r="E465" s="21" t="n">
        <v>10</v>
      </c>
      <c r="F465" s="20" t="s">
        <v>15</v>
      </c>
    </row>
    <row r="467" customFormat="false" ht="19.5" hidden="false" customHeight="true" outlineLevel="0" collapsed="false">
      <c r="A467" s="5" t="s">
        <v>111</v>
      </c>
      <c r="B467" s="5"/>
      <c r="C467" s="5"/>
      <c r="D467" s="5"/>
      <c r="E467" s="5"/>
      <c r="F467" s="5"/>
    </row>
    <row r="468" customFormat="false" ht="15" hidden="false" customHeight="true" outlineLevel="0" collapsed="false">
      <c r="A468" s="6" t="s">
        <v>10</v>
      </c>
      <c r="B468" s="7" t="s">
        <v>11</v>
      </c>
      <c r="C468" s="8" t="s">
        <v>12</v>
      </c>
      <c r="D468" s="9" t="n">
        <v>250</v>
      </c>
      <c r="E468" s="9"/>
      <c r="F468" s="8" t="s">
        <v>13</v>
      </c>
    </row>
    <row r="469" customFormat="false" ht="15" hidden="false" customHeight="false" outlineLevel="0" collapsed="false">
      <c r="A469" s="6"/>
      <c r="B469" s="6"/>
      <c r="C469" s="8" t="s">
        <v>14</v>
      </c>
      <c r="D469" s="9" t="n">
        <v>100</v>
      </c>
      <c r="E469" s="9"/>
      <c r="F469" s="8" t="s">
        <v>15</v>
      </c>
    </row>
    <row r="470" customFormat="false" ht="15" hidden="false" customHeight="false" outlineLevel="0" collapsed="false">
      <c r="A470" s="6"/>
      <c r="B470" s="6"/>
      <c r="C470" s="8" t="s">
        <v>16</v>
      </c>
      <c r="D470" s="9" t="n">
        <v>65</v>
      </c>
      <c r="E470" s="9"/>
      <c r="F470" s="8" t="s">
        <v>15</v>
      </c>
    </row>
    <row r="471" customFormat="false" ht="15" hidden="false" customHeight="false" outlineLevel="0" collapsed="false">
      <c r="A471" s="6"/>
      <c r="B471" s="6"/>
      <c r="C471" s="8" t="s">
        <v>17</v>
      </c>
      <c r="D471" s="9" t="n">
        <v>1</v>
      </c>
      <c r="E471" s="9" t="n">
        <v>2</v>
      </c>
      <c r="F471" s="8" t="s">
        <v>18</v>
      </c>
    </row>
    <row r="472" customFormat="false" ht="15" hidden="false" customHeight="false" outlineLevel="0" collapsed="false">
      <c r="A472" s="6"/>
      <c r="B472" s="6"/>
      <c r="C472" s="8" t="s">
        <v>19</v>
      </c>
      <c r="D472" s="9"/>
      <c r="E472" s="9" t="n">
        <v>30</v>
      </c>
      <c r="F472" s="8" t="s">
        <v>15</v>
      </c>
    </row>
    <row r="473" customFormat="false" ht="15" hidden="false" customHeight="false" outlineLevel="0" collapsed="false">
      <c r="A473" s="6"/>
      <c r="B473" s="6"/>
      <c r="C473" s="8" t="s">
        <v>20</v>
      </c>
      <c r="D473" s="9"/>
      <c r="E473" s="9" t="n">
        <v>80</v>
      </c>
      <c r="F473" s="8" t="s">
        <v>15</v>
      </c>
    </row>
    <row r="474" customFormat="false" ht="15" hidden="false" customHeight="false" outlineLevel="0" collapsed="false">
      <c r="A474" s="6"/>
      <c r="B474" s="6"/>
      <c r="C474" s="8" t="s">
        <v>21</v>
      </c>
      <c r="D474" s="9"/>
      <c r="E474" s="9" t="n">
        <v>40</v>
      </c>
      <c r="F474" s="8" t="s">
        <v>15</v>
      </c>
    </row>
    <row r="475" customFormat="false" ht="15" hidden="false" customHeight="false" outlineLevel="0" collapsed="false">
      <c r="A475" s="6"/>
      <c r="B475" s="6"/>
      <c r="C475" s="8" t="s">
        <v>22</v>
      </c>
      <c r="D475" s="9"/>
      <c r="E475" s="9" t="n">
        <v>150</v>
      </c>
      <c r="F475" s="8" t="s">
        <v>15</v>
      </c>
    </row>
    <row r="476" customFormat="false" ht="15" hidden="false" customHeight="true" outlineLevel="0" collapsed="false">
      <c r="A476" s="14" t="s">
        <v>23</v>
      </c>
      <c r="B476" s="15" t="s">
        <v>112</v>
      </c>
      <c r="C476" s="16" t="s">
        <v>31</v>
      </c>
      <c r="D476" s="17" t="n">
        <v>150</v>
      </c>
      <c r="E476" s="17" t="n">
        <v>125</v>
      </c>
      <c r="F476" s="16" t="s">
        <v>15</v>
      </c>
    </row>
    <row r="477" customFormat="false" ht="15" hidden="false" customHeight="false" outlineLevel="0" collapsed="false">
      <c r="A477" s="14"/>
      <c r="B477" s="14"/>
      <c r="C477" s="16" t="s">
        <v>43</v>
      </c>
      <c r="D477" s="17" t="n">
        <v>85</v>
      </c>
      <c r="E477" s="17" t="n">
        <v>45</v>
      </c>
      <c r="F477" s="16" t="s">
        <v>15</v>
      </c>
    </row>
    <row r="478" customFormat="false" ht="15" hidden="false" customHeight="false" outlineLevel="0" collapsed="false">
      <c r="A478" s="14"/>
      <c r="B478" s="14"/>
      <c r="C478" s="16" t="s">
        <v>33</v>
      </c>
      <c r="D478" s="17" t="n">
        <v>180</v>
      </c>
      <c r="E478" s="17" t="n">
        <v>220</v>
      </c>
      <c r="F478" s="16" t="s">
        <v>15</v>
      </c>
    </row>
    <row r="479" customFormat="false" ht="15" hidden="false" customHeight="false" outlineLevel="0" collapsed="false">
      <c r="A479" s="14"/>
      <c r="B479" s="14"/>
      <c r="C479" s="16" t="s">
        <v>20</v>
      </c>
      <c r="D479" s="17" t="n">
        <v>60</v>
      </c>
      <c r="E479" s="17" t="n">
        <v>80</v>
      </c>
      <c r="F479" s="16" t="s">
        <v>15</v>
      </c>
    </row>
    <row r="480" customFormat="false" ht="15" hidden="false" customHeight="false" outlineLevel="0" collapsed="false">
      <c r="A480" s="14"/>
      <c r="B480" s="14"/>
      <c r="C480" s="16" t="s">
        <v>28</v>
      </c>
      <c r="D480" s="17" t="n">
        <v>10</v>
      </c>
      <c r="E480" s="17" t="n">
        <v>7</v>
      </c>
      <c r="F480" s="16" t="s">
        <v>15</v>
      </c>
    </row>
    <row r="481" customFormat="false" ht="15" hidden="false" customHeight="true" outlineLevel="0" collapsed="false">
      <c r="A481" s="6" t="s">
        <v>29</v>
      </c>
      <c r="B481" s="7" t="s">
        <v>113</v>
      </c>
      <c r="C481" s="8" t="s">
        <v>25</v>
      </c>
      <c r="D481" s="9" t="n">
        <v>150</v>
      </c>
      <c r="E481" s="9" t="n">
        <v>120</v>
      </c>
      <c r="F481" s="8" t="s">
        <v>15</v>
      </c>
    </row>
    <row r="482" customFormat="false" ht="15" hidden="false" customHeight="false" outlineLevel="0" collapsed="false">
      <c r="A482" s="6"/>
      <c r="B482" s="6"/>
      <c r="C482" s="8" t="s">
        <v>34</v>
      </c>
      <c r="D482" s="9" t="n">
        <v>60</v>
      </c>
      <c r="E482" s="9" t="n">
        <v>80</v>
      </c>
      <c r="F482" s="8" t="s">
        <v>15</v>
      </c>
    </row>
    <row r="483" customFormat="false" ht="15" hidden="false" customHeight="false" outlineLevel="0" collapsed="false">
      <c r="A483" s="6"/>
      <c r="B483" s="6"/>
      <c r="C483" s="8" t="s">
        <v>20</v>
      </c>
      <c r="D483" s="9" t="n">
        <v>120</v>
      </c>
      <c r="E483" s="9" t="n">
        <v>150</v>
      </c>
      <c r="F483" s="8" t="s">
        <v>15</v>
      </c>
    </row>
    <row r="484" customFormat="false" ht="15" hidden="false" customHeight="false" outlineLevel="0" collapsed="false">
      <c r="A484" s="6"/>
      <c r="B484" s="6"/>
      <c r="C484" s="8" t="s">
        <v>35</v>
      </c>
      <c r="D484" s="9" t="n">
        <v>30</v>
      </c>
      <c r="E484" s="9" t="n">
        <v>30</v>
      </c>
      <c r="F484" s="8" t="s">
        <v>15</v>
      </c>
    </row>
    <row r="485" customFormat="false" ht="15" hidden="false" customHeight="false" outlineLevel="0" collapsed="false">
      <c r="A485" s="6"/>
      <c r="B485" s="6"/>
      <c r="C485" s="8" t="s">
        <v>26</v>
      </c>
      <c r="D485" s="9" t="n">
        <v>360</v>
      </c>
      <c r="E485" s="9" t="n">
        <v>170</v>
      </c>
      <c r="F485" s="8" t="s">
        <v>15</v>
      </c>
    </row>
    <row r="486" customFormat="false" ht="15" hidden="false" customHeight="false" outlineLevel="0" collapsed="false">
      <c r="A486" s="6"/>
      <c r="B486" s="6"/>
      <c r="C486" s="8" t="s">
        <v>28</v>
      </c>
      <c r="D486" s="9" t="n">
        <v>10</v>
      </c>
      <c r="E486" s="9" t="n">
        <v>7</v>
      </c>
      <c r="F486" s="8" t="s">
        <v>15</v>
      </c>
    </row>
    <row r="487" customFormat="false" ht="15" hidden="false" customHeight="false" outlineLevel="0" collapsed="false">
      <c r="A487" s="18" t="s">
        <v>36</v>
      </c>
      <c r="B487" s="19" t="s">
        <v>68</v>
      </c>
      <c r="C487" s="20" t="s">
        <v>39</v>
      </c>
      <c r="D487" s="21" t="n">
        <v>15</v>
      </c>
      <c r="E487" s="21" t="n">
        <v>10</v>
      </c>
      <c r="F487" s="20" t="s">
        <v>15</v>
      </c>
    </row>
    <row r="489" customFormat="false" ht="19.5" hidden="false" customHeight="true" outlineLevel="0" collapsed="false">
      <c r="A489" s="5" t="s">
        <v>114</v>
      </c>
      <c r="B489" s="5"/>
      <c r="C489" s="5"/>
      <c r="D489" s="5"/>
      <c r="E489" s="5"/>
      <c r="F489" s="5"/>
    </row>
    <row r="490" customFormat="false" ht="15" hidden="false" customHeight="true" outlineLevel="0" collapsed="false">
      <c r="A490" s="6" t="s">
        <v>10</v>
      </c>
      <c r="B490" s="7" t="s">
        <v>11</v>
      </c>
      <c r="C490" s="8" t="s">
        <v>12</v>
      </c>
      <c r="D490" s="9" t="n">
        <v>250</v>
      </c>
      <c r="E490" s="9"/>
      <c r="F490" s="8" t="s">
        <v>13</v>
      </c>
    </row>
    <row r="491" customFormat="false" ht="15" hidden="false" customHeight="false" outlineLevel="0" collapsed="false">
      <c r="A491" s="6"/>
      <c r="B491" s="6"/>
      <c r="C491" s="8" t="s">
        <v>14</v>
      </c>
      <c r="D491" s="9" t="n">
        <v>100</v>
      </c>
      <c r="E491" s="9"/>
      <c r="F491" s="8" t="s">
        <v>15</v>
      </c>
    </row>
    <row r="492" customFormat="false" ht="15" hidden="false" customHeight="false" outlineLevel="0" collapsed="false">
      <c r="A492" s="6"/>
      <c r="B492" s="6"/>
      <c r="C492" s="8" t="s">
        <v>16</v>
      </c>
      <c r="D492" s="9" t="n">
        <v>65</v>
      </c>
      <c r="E492" s="9"/>
      <c r="F492" s="8" t="s">
        <v>15</v>
      </c>
    </row>
    <row r="493" customFormat="false" ht="15" hidden="false" customHeight="false" outlineLevel="0" collapsed="false">
      <c r="A493" s="6"/>
      <c r="B493" s="6"/>
      <c r="C493" s="8" t="s">
        <v>17</v>
      </c>
      <c r="D493" s="9" t="n">
        <v>1</v>
      </c>
      <c r="E493" s="9" t="n">
        <v>2</v>
      </c>
      <c r="F493" s="8" t="s">
        <v>18</v>
      </c>
    </row>
    <row r="494" customFormat="false" ht="15" hidden="false" customHeight="false" outlineLevel="0" collapsed="false">
      <c r="A494" s="6"/>
      <c r="B494" s="6"/>
      <c r="C494" s="8" t="s">
        <v>19</v>
      </c>
      <c r="D494" s="9"/>
      <c r="E494" s="9" t="n">
        <v>30</v>
      </c>
      <c r="F494" s="8" t="s">
        <v>15</v>
      </c>
    </row>
    <row r="495" customFormat="false" ht="15" hidden="false" customHeight="false" outlineLevel="0" collapsed="false">
      <c r="A495" s="6"/>
      <c r="B495" s="6"/>
      <c r="C495" s="8" t="s">
        <v>20</v>
      </c>
      <c r="D495" s="9"/>
      <c r="E495" s="9" t="n">
        <v>80</v>
      </c>
      <c r="F495" s="8" t="s">
        <v>15</v>
      </c>
    </row>
    <row r="496" customFormat="false" ht="15" hidden="false" customHeight="false" outlineLevel="0" collapsed="false">
      <c r="A496" s="6"/>
      <c r="B496" s="6"/>
      <c r="C496" s="8" t="s">
        <v>21</v>
      </c>
      <c r="D496" s="9"/>
      <c r="E496" s="9" t="n">
        <v>40</v>
      </c>
      <c r="F496" s="8" t="s">
        <v>15</v>
      </c>
    </row>
    <row r="497" customFormat="false" ht="15" hidden="false" customHeight="false" outlineLevel="0" collapsed="false">
      <c r="A497" s="6"/>
      <c r="B497" s="6"/>
      <c r="C497" s="8" t="s">
        <v>22</v>
      </c>
      <c r="D497" s="9"/>
      <c r="E497" s="9" t="n">
        <v>150</v>
      </c>
      <c r="F497" s="8" t="s">
        <v>15</v>
      </c>
    </row>
    <row r="498" customFormat="false" ht="15" hidden="false" customHeight="true" outlineLevel="0" collapsed="false">
      <c r="A498" s="10" t="s">
        <v>23</v>
      </c>
      <c r="B498" s="11" t="s">
        <v>115</v>
      </c>
      <c r="C498" s="12" t="s">
        <v>17</v>
      </c>
      <c r="D498" s="13" t="n">
        <v>3</v>
      </c>
      <c r="E498" s="13" t="n">
        <v>2</v>
      </c>
      <c r="F498" s="12" t="s">
        <v>18</v>
      </c>
    </row>
    <row r="499" customFormat="false" ht="15" hidden="false" customHeight="false" outlineLevel="0" collapsed="false">
      <c r="A499" s="10"/>
      <c r="B499" s="10"/>
      <c r="C499" s="12" t="s">
        <v>26</v>
      </c>
      <c r="D499" s="13" t="n">
        <v>300</v>
      </c>
      <c r="E499" s="13" t="n">
        <v>110</v>
      </c>
      <c r="F499" s="12" t="s">
        <v>15</v>
      </c>
    </row>
    <row r="500" customFormat="false" ht="15" hidden="false" customHeight="false" outlineLevel="0" collapsed="false">
      <c r="A500" s="10"/>
      <c r="B500" s="10"/>
      <c r="C500" s="12" t="s">
        <v>33</v>
      </c>
      <c r="D500" s="13" t="n">
        <v>150</v>
      </c>
      <c r="E500" s="13" t="n">
        <v>170</v>
      </c>
      <c r="F500" s="12" t="s">
        <v>15</v>
      </c>
    </row>
    <row r="501" customFormat="false" ht="15" hidden="false" customHeight="false" outlineLevel="0" collapsed="false">
      <c r="A501" s="10"/>
      <c r="B501" s="10"/>
      <c r="C501" s="12" t="s">
        <v>20</v>
      </c>
      <c r="D501" s="13" t="n">
        <v>100</v>
      </c>
      <c r="E501" s="13" t="n">
        <v>130</v>
      </c>
      <c r="F501" s="12" t="s">
        <v>15</v>
      </c>
    </row>
    <row r="502" customFormat="false" ht="15" hidden="false" customHeight="false" outlineLevel="0" collapsed="false">
      <c r="A502" s="10"/>
      <c r="B502" s="10"/>
      <c r="C502" s="12" t="s">
        <v>46</v>
      </c>
      <c r="D502" s="13" t="n">
        <v>40</v>
      </c>
      <c r="E502" s="13" t="n">
        <v>60</v>
      </c>
      <c r="F502" s="12" t="s">
        <v>15</v>
      </c>
    </row>
    <row r="503" customFormat="false" ht="15" hidden="false" customHeight="false" outlineLevel="0" collapsed="false">
      <c r="A503" s="10"/>
      <c r="B503" s="10"/>
      <c r="C503" s="12" t="s">
        <v>35</v>
      </c>
      <c r="D503" s="13" t="n">
        <v>20</v>
      </c>
      <c r="E503" s="13" t="n">
        <v>20</v>
      </c>
      <c r="F503" s="12" t="s">
        <v>15</v>
      </c>
    </row>
    <row r="504" customFormat="false" ht="15" hidden="false" customHeight="false" outlineLevel="0" collapsed="false">
      <c r="A504" s="10"/>
      <c r="B504" s="10"/>
      <c r="C504" s="12" t="s">
        <v>28</v>
      </c>
      <c r="D504" s="13" t="n">
        <v>8</v>
      </c>
      <c r="E504" s="13" t="n">
        <v>6</v>
      </c>
      <c r="F504" s="12" t="s">
        <v>15</v>
      </c>
    </row>
    <row r="505" customFormat="false" ht="15" hidden="false" customHeight="true" outlineLevel="0" collapsed="false">
      <c r="A505" s="14" t="s">
        <v>29</v>
      </c>
      <c r="B505" s="15" t="s">
        <v>116</v>
      </c>
      <c r="C505" s="16" t="s">
        <v>31</v>
      </c>
      <c r="D505" s="17" t="n">
        <v>150</v>
      </c>
      <c r="E505" s="17" t="n">
        <v>125</v>
      </c>
      <c r="F505" s="16" t="s">
        <v>15</v>
      </c>
    </row>
    <row r="506" customFormat="false" ht="15" hidden="false" customHeight="false" outlineLevel="0" collapsed="false">
      <c r="A506" s="14"/>
      <c r="B506" s="14"/>
      <c r="C506" s="16" t="s">
        <v>32</v>
      </c>
      <c r="D506" s="17" t="n">
        <v>300</v>
      </c>
      <c r="E506" s="17" t="n">
        <v>140</v>
      </c>
      <c r="F506" s="16" t="s">
        <v>15</v>
      </c>
    </row>
    <row r="507" customFormat="false" ht="15" hidden="false" customHeight="false" outlineLevel="0" collapsed="false">
      <c r="A507" s="14"/>
      <c r="B507" s="14"/>
      <c r="C507" s="16" t="s">
        <v>27</v>
      </c>
      <c r="D507" s="17" t="n">
        <v>250</v>
      </c>
      <c r="E507" s="17" t="n">
        <v>280</v>
      </c>
      <c r="F507" s="16" t="s">
        <v>15</v>
      </c>
    </row>
    <row r="508" customFormat="false" ht="15" hidden="false" customHeight="false" outlineLevel="0" collapsed="false">
      <c r="A508" s="14"/>
      <c r="B508" s="14"/>
      <c r="C508" s="16" t="s">
        <v>28</v>
      </c>
      <c r="D508" s="17" t="n">
        <v>10</v>
      </c>
      <c r="E508" s="17" t="n">
        <v>7</v>
      </c>
      <c r="F508" s="16" t="s">
        <v>15</v>
      </c>
    </row>
    <row r="509" customFormat="false" ht="15" hidden="false" customHeight="true" outlineLevel="0" collapsed="false">
      <c r="A509" s="18" t="s">
        <v>36</v>
      </c>
      <c r="B509" s="19" t="s">
        <v>37</v>
      </c>
      <c r="C509" s="20" t="s">
        <v>38</v>
      </c>
      <c r="D509" s="21" t="n">
        <v>125</v>
      </c>
      <c r="E509" s="21" t="n">
        <v>125</v>
      </c>
      <c r="F509" s="20" t="s">
        <v>15</v>
      </c>
    </row>
    <row r="510" customFormat="false" ht="15" hidden="false" customHeight="false" outlineLevel="0" collapsed="false">
      <c r="A510" s="18"/>
      <c r="B510" s="18"/>
      <c r="C510" s="20" t="s">
        <v>39</v>
      </c>
      <c r="D510" s="21" t="n">
        <v>10</v>
      </c>
      <c r="E510" s="21" t="n">
        <v>10</v>
      </c>
      <c r="F510" s="20" t="s">
        <v>15</v>
      </c>
    </row>
  </sheetData>
  <mergeCells count="164">
    <mergeCell ref="A2:F2"/>
    <mergeCell ref="A6:F6"/>
    <mergeCell ref="A7:A14"/>
    <mergeCell ref="B7:B14"/>
    <mergeCell ref="A15:A18"/>
    <mergeCell ref="B15:B18"/>
    <mergeCell ref="A19:A24"/>
    <mergeCell ref="B19:B24"/>
    <mergeCell ref="A25:A26"/>
    <mergeCell ref="B25:B26"/>
    <mergeCell ref="A28:F28"/>
    <mergeCell ref="A29:A36"/>
    <mergeCell ref="B29:B36"/>
    <mergeCell ref="A37:A43"/>
    <mergeCell ref="B37:B43"/>
    <mergeCell ref="A44:A50"/>
    <mergeCell ref="B44:B50"/>
    <mergeCell ref="A53:F53"/>
    <mergeCell ref="A54:A61"/>
    <mergeCell ref="B54:B61"/>
    <mergeCell ref="A62:A67"/>
    <mergeCell ref="B62:B67"/>
    <mergeCell ref="A68:A73"/>
    <mergeCell ref="B68:B73"/>
    <mergeCell ref="A76:F76"/>
    <mergeCell ref="A77:A84"/>
    <mergeCell ref="B77:B84"/>
    <mergeCell ref="A85:A92"/>
    <mergeCell ref="B85:B92"/>
    <mergeCell ref="A93:A98"/>
    <mergeCell ref="B93:B98"/>
    <mergeCell ref="A101:F101"/>
    <mergeCell ref="A102:A109"/>
    <mergeCell ref="B102:B109"/>
    <mergeCell ref="A110:A113"/>
    <mergeCell ref="B110:B113"/>
    <mergeCell ref="A114:A119"/>
    <mergeCell ref="B114:B119"/>
    <mergeCell ref="A120:A121"/>
    <mergeCell ref="B120:B121"/>
    <mergeCell ref="A123:F123"/>
    <mergeCell ref="A124:A131"/>
    <mergeCell ref="B124:B131"/>
    <mergeCell ref="A132:A137"/>
    <mergeCell ref="B132:B137"/>
    <mergeCell ref="A138:A142"/>
    <mergeCell ref="B138:B142"/>
    <mergeCell ref="A145:F145"/>
    <mergeCell ref="A146:A153"/>
    <mergeCell ref="B146:B153"/>
    <mergeCell ref="A154:A157"/>
    <mergeCell ref="B154:B157"/>
    <mergeCell ref="A158:A165"/>
    <mergeCell ref="B158:B165"/>
    <mergeCell ref="A168:F168"/>
    <mergeCell ref="A169:A176"/>
    <mergeCell ref="B169:B176"/>
    <mergeCell ref="A177:A181"/>
    <mergeCell ref="B177:B181"/>
    <mergeCell ref="A182:A188"/>
    <mergeCell ref="B182:B188"/>
    <mergeCell ref="A189:A190"/>
    <mergeCell ref="B189:B190"/>
    <mergeCell ref="A192:F192"/>
    <mergeCell ref="A193:A200"/>
    <mergeCell ref="B193:B200"/>
    <mergeCell ref="A201:A207"/>
    <mergeCell ref="B201:B207"/>
    <mergeCell ref="A208:A216"/>
    <mergeCell ref="B208:B216"/>
    <mergeCell ref="A219:F219"/>
    <mergeCell ref="A220:A227"/>
    <mergeCell ref="B220:B227"/>
    <mergeCell ref="A228:A237"/>
    <mergeCell ref="B228:B237"/>
    <mergeCell ref="A238:A244"/>
    <mergeCell ref="B238:B244"/>
    <mergeCell ref="A247:F247"/>
    <mergeCell ref="A248:A255"/>
    <mergeCell ref="B248:B255"/>
    <mergeCell ref="A256:A264"/>
    <mergeCell ref="B256:B264"/>
    <mergeCell ref="A265:A270"/>
    <mergeCell ref="B265:B270"/>
    <mergeCell ref="A273:F273"/>
    <mergeCell ref="A274:A281"/>
    <mergeCell ref="B274:B281"/>
    <mergeCell ref="A282:A287"/>
    <mergeCell ref="B282:B287"/>
    <mergeCell ref="A288:A297"/>
    <mergeCell ref="B288:B297"/>
    <mergeCell ref="A298:A299"/>
    <mergeCell ref="B298:B299"/>
    <mergeCell ref="A301:F301"/>
    <mergeCell ref="A302:A309"/>
    <mergeCell ref="B302:B309"/>
    <mergeCell ref="A310:A315"/>
    <mergeCell ref="B310:B315"/>
    <mergeCell ref="A316:A322"/>
    <mergeCell ref="B316:B322"/>
    <mergeCell ref="A325:F325"/>
    <mergeCell ref="A326:A333"/>
    <mergeCell ref="B326:B333"/>
    <mergeCell ref="A334:A339"/>
    <mergeCell ref="B334:B339"/>
    <mergeCell ref="A340:A344"/>
    <mergeCell ref="B340:B344"/>
    <mergeCell ref="A347:F347"/>
    <mergeCell ref="A348:A355"/>
    <mergeCell ref="B348:B355"/>
    <mergeCell ref="A356:A359"/>
    <mergeCell ref="B356:B359"/>
    <mergeCell ref="A360:A366"/>
    <mergeCell ref="B360:B366"/>
    <mergeCell ref="A367:A368"/>
    <mergeCell ref="B367:B368"/>
    <mergeCell ref="A370:F370"/>
    <mergeCell ref="A371:A378"/>
    <mergeCell ref="B371:B378"/>
    <mergeCell ref="A379:A385"/>
    <mergeCell ref="B379:B385"/>
    <mergeCell ref="A386:A392"/>
    <mergeCell ref="B386:B392"/>
    <mergeCell ref="A395:F395"/>
    <mergeCell ref="A396:A403"/>
    <mergeCell ref="B396:B403"/>
    <mergeCell ref="A404:A409"/>
    <mergeCell ref="B404:B409"/>
    <mergeCell ref="A410:A417"/>
    <mergeCell ref="B410:B417"/>
    <mergeCell ref="A418:A419"/>
    <mergeCell ref="B418:B419"/>
    <mergeCell ref="A421:F421"/>
    <mergeCell ref="A422:A429"/>
    <mergeCell ref="B422:B429"/>
    <mergeCell ref="A430:A436"/>
    <mergeCell ref="B430:B436"/>
    <mergeCell ref="A437:A443"/>
    <mergeCell ref="B437:B443"/>
    <mergeCell ref="A446:F446"/>
    <mergeCell ref="A447:A454"/>
    <mergeCell ref="B447:B454"/>
    <mergeCell ref="A455:A458"/>
    <mergeCell ref="B455:B458"/>
    <mergeCell ref="A459:A463"/>
    <mergeCell ref="B459:B463"/>
    <mergeCell ref="A464:A465"/>
    <mergeCell ref="B464:B465"/>
    <mergeCell ref="A467:F467"/>
    <mergeCell ref="A468:A475"/>
    <mergeCell ref="B468:B475"/>
    <mergeCell ref="A476:A480"/>
    <mergeCell ref="B476:B480"/>
    <mergeCell ref="A481:A486"/>
    <mergeCell ref="B481:B486"/>
    <mergeCell ref="A489:F489"/>
    <mergeCell ref="A490:A497"/>
    <mergeCell ref="B490:B497"/>
    <mergeCell ref="A498:A504"/>
    <mergeCell ref="B498:B504"/>
    <mergeCell ref="A505:A508"/>
    <mergeCell ref="B505:B508"/>
    <mergeCell ref="A509:A510"/>
    <mergeCell ref="B509:B5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117</v>
      </c>
    </row>
    <row r="2" customFormat="false" ht="30" hidden="false" customHeight="true" outlineLevel="0" collapsed="false">
      <c r="A2" s="2" t="s">
        <v>118</v>
      </c>
      <c r="B2" s="2"/>
      <c r="C2" s="2"/>
      <c r="D2" s="2"/>
      <c r="E2" s="2"/>
    </row>
    <row r="4" customFormat="false" ht="23.85" hidden="false" customHeight="false" outlineLevel="0" collapsed="false">
      <c r="A4" s="26"/>
      <c r="B4" s="26" t="s">
        <v>6</v>
      </c>
      <c r="C4" s="26" t="s">
        <v>7</v>
      </c>
      <c r="D4" s="26" t="s">
        <v>119</v>
      </c>
      <c r="E4" s="26" t="s">
        <v>120</v>
      </c>
    </row>
    <row r="5" customFormat="false" ht="15" hidden="false" customHeight="false" outlineLevel="0" collapsed="false">
      <c r="A5" s="27" t="s">
        <v>121</v>
      </c>
      <c r="B5" s="28" t="n">
        <f aca="false">Courses!T54</f>
        <v>176.918858874459</v>
      </c>
      <c r="C5" s="28" t="n">
        <f aca="false">Courses!U54</f>
        <v>167.842611471861</v>
      </c>
      <c r="D5" s="28" t="n">
        <f aca="false">Courses!W54</f>
        <v>18.3495582251082</v>
      </c>
      <c r="E5" s="28" t="n">
        <f aca="false">Courses!M57</f>
        <v>363.111028571429</v>
      </c>
    </row>
    <row r="6" customFormat="false" ht="15" hidden="false" customHeight="false" outlineLevel="0" collapsed="false">
      <c r="A6" s="29" t="s">
        <v>122</v>
      </c>
      <c r="B6" s="30" t="n">
        <f aca="false">B5/$E$5</f>
        <v>0.487230750248768</v>
      </c>
      <c r="C6" s="30" t="n">
        <f aca="false">C5/$E$5</f>
        <v>0.462234959186443</v>
      </c>
      <c r="D6" s="30" t="n">
        <f aca="false">D5/$E$5</f>
        <v>0.0505342905647897</v>
      </c>
      <c r="E6" s="30" t="n">
        <f aca="false">E5/$E$5</f>
        <v>1</v>
      </c>
    </row>
    <row r="7" customFormat="false" ht="15" hidden="false" customHeight="false" outlineLevel="0" collapsed="false">
      <c r="A7" s="27" t="s">
        <v>123</v>
      </c>
      <c r="B7" s="28" t="n">
        <f aca="false">B5/21</f>
        <v>8.42470756545042</v>
      </c>
      <c r="C7" s="28" t="n">
        <f aca="false">C5/21</f>
        <v>7.99250530818388</v>
      </c>
      <c r="D7" s="28"/>
      <c r="E7" s="28" t="n">
        <f aca="false">E5/21</f>
        <v>17.2910013605442</v>
      </c>
    </row>
    <row r="8" customFormat="false" ht="15" hidden="false" customHeight="false" outlineLevel="0" collapsed="false">
      <c r="A8" s="27" t="s">
        <v>124</v>
      </c>
      <c r="B8" s="28" t="n">
        <f aca="false">B5/63</f>
        <v>2.80823585515014</v>
      </c>
      <c r="C8" s="28" t="n">
        <f aca="false">C5/63</f>
        <v>2.66416843606129</v>
      </c>
      <c r="D8" s="28"/>
      <c r="E8" s="28" t="n">
        <f aca="false">E5/126</f>
        <v>2.8818335600907</v>
      </c>
    </row>
    <row r="9" customFormat="false" ht="15" hidden="false" customHeight="false" outlineLevel="0" collapsed="false">
      <c r="A9" s="27" t="s">
        <v>125</v>
      </c>
      <c r="B9" s="28"/>
      <c r="C9" s="28"/>
      <c r="D9" s="28"/>
      <c r="E9" s="28" t="n">
        <f aca="false">E5-B5-C5-D5</f>
        <v>7.105427357601E-014</v>
      </c>
    </row>
    <row r="11" customFormat="false" ht="15" hidden="false" customHeight="false" outlineLevel="0" collapsed="false">
      <c r="A11" s="31" t="s">
        <v>126</v>
      </c>
    </row>
    <row r="12" customFormat="false" ht="23.85" hidden="false" customHeight="false" outlineLevel="0" collapsed="false">
      <c r="A12" s="26"/>
      <c r="B12" s="26" t="s">
        <v>127</v>
      </c>
      <c r="C12" s="26" t="s">
        <v>128</v>
      </c>
      <c r="D12" s="26" t="s">
        <v>129</v>
      </c>
    </row>
    <row r="13" customFormat="false" ht="15" hidden="false" customHeight="false" outlineLevel="0" collapsed="false">
      <c r="A13" s="27" t="s">
        <v>130</v>
      </c>
      <c r="B13" s="28" t="n">
        <f aca="false">Courses!M55</f>
        <v>42.9863121212121</v>
      </c>
      <c r="C13" s="28" t="n">
        <f aca="false">Courses!M56</f>
        <v>40.3696409090909</v>
      </c>
      <c r="D13" s="28" t="n">
        <f aca="false">Courses!M54</f>
        <v>129.9301</v>
      </c>
    </row>
    <row r="14" customFormat="false" ht="15" hidden="false" customHeight="false" outlineLevel="0" collapsed="false">
      <c r="A14" s="27" t="s">
        <v>131</v>
      </c>
      <c r="B14" s="28" t="n">
        <f aca="false">Courses!Q55</f>
        <v>133.932546753247</v>
      </c>
      <c r="C14" s="28" t="n">
        <f aca="false">Courses!Q56</f>
        <v>127.472970562771</v>
      </c>
      <c r="D14" s="28" t="n">
        <f aca="false">Courses!Q54</f>
        <v>233.180928571429</v>
      </c>
    </row>
    <row r="16" customFormat="false" ht="30" hidden="false" customHeight="true" outlineLevel="0" collapsed="false">
      <c r="A16" s="2" t="s">
        <v>132</v>
      </c>
      <c r="B16" s="2"/>
      <c r="C16" s="2"/>
      <c r="D16" s="2"/>
      <c r="E16" s="2"/>
    </row>
  </sheetData>
  <mergeCells count="2">
    <mergeCell ref="A2:E2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12" min="9" style="0" width="9"/>
    <col collapsed="false" customWidth="true" hidden="false" outlineLevel="0" max="13" min="13" style="0" width="10"/>
    <col collapsed="false" customWidth="true" hidden="false" outlineLevel="0" max="16" min="14" style="0" width="9"/>
    <col collapsed="false" customWidth="true" hidden="false" outlineLevel="0" max="17" min="17" style="0" width="10"/>
    <col collapsed="false" customWidth="true" hidden="false" outlineLevel="0" max="19" min="18" style="0" width="9"/>
    <col collapsed="false" customWidth="true" hidden="false" outlineLevel="0" max="21" min="20" style="0" width="11"/>
    <col collapsed="false" customWidth="true" hidden="false" outlineLevel="0" max="23" min="22" style="0" width="10"/>
    <col collapsed="false" customWidth="true" hidden="false" outlineLevel="0" max="24" min="24" style="0" width="46"/>
    <col collapsed="false" customWidth="true" hidden="false" outlineLevel="0" max="26" min="25" style="0" width="11"/>
  </cols>
  <sheetData>
    <row r="1" customFormat="false" ht="17.35" hidden="false" customHeight="false" outlineLevel="0" collapsed="false">
      <c r="A1" s="1" t="s">
        <v>133</v>
      </c>
    </row>
    <row r="2" customFormat="false" ht="30" hidden="false" customHeight="true" outlineLevel="0" collapsed="false">
      <c r="A2" s="2" t="s">
        <v>134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customFormat="false" ht="15" hidden="false" customHeight="false" outlineLevel="0" collapsed="false">
      <c r="A4" s="32" t="s">
        <v>135</v>
      </c>
      <c r="B4" s="32"/>
      <c r="C4" s="32"/>
      <c r="D4" s="32"/>
      <c r="E4" s="32"/>
      <c r="F4" s="32"/>
      <c r="G4" s="32"/>
      <c r="H4" s="32"/>
      <c r="I4" s="32"/>
      <c r="J4" s="33" t="s">
        <v>136</v>
      </c>
      <c r="K4" s="33"/>
      <c r="L4" s="33"/>
      <c r="M4" s="33"/>
      <c r="N4" s="34" t="s">
        <v>137</v>
      </c>
      <c r="O4" s="34"/>
      <c r="P4" s="34"/>
      <c r="Q4" s="34"/>
      <c r="R4" s="35" t="s">
        <v>138</v>
      </c>
      <c r="S4" s="35"/>
      <c r="T4" s="35"/>
      <c r="U4" s="35"/>
      <c r="V4" s="35"/>
      <c r="W4" s="35"/>
      <c r="X4" s="36"/>
      <c r="Y4" s="37" t="s">
        <v>139</v>
      </c>
      <c r="Z4" s="37"/>
    </row>
    <row r="5" customFormat="false" ht="45" hidden="false" customHeight="true" outlineLevel="0" collapsed="false">
      <c r="A5" s="38" t="s">
        <v>140</v>
      </c>
      <c r="B5" s="38" t="s">
        <v>5</v>
      </c>
      <c r="C5" s="38" t="s">
        <v>8</v>
      </c>
      <c r="D5" s="38" t="s">
        <v>141</v>
      </c>
      <c r="E5" s="38" t="s">
        <v>142</v>
      </c>
      <c r="F5" s="38" t="s">
        <v>143</v>
      </c>
      <c r="G5" s="38" t="s">
        <v>144</v>
      </c>
      <c r="H5" s="38" t="s">
        <v>145</v>
      </c>
      <c r="I5" s="38" t="s">
        <v>146</v>
      </c>
      <c r="J5" s="39" t="s">
        <v>147</v>
      </c>
      <c r="K5" s="39" t="s">
        <v>148</v>
      </c>
      <c r="L5" s="39" t="s">
        <v>149</v>
      </c>
      <c r="M5" s="39" t="s">
        <v>150</v>
      </c>
      <c r="N5" s="40" t="s">
        <v>147</v>
      </c>
      <c r="O5" s="40" t="s">
        <v>148</v>
      </c>
      <c r="P5" s="40" t="s">
        <v>149</v>
      </c>
      <c r="Q5" s="40" t="s">
        <v>150</v>
      </c>
      <c r="R5" s="41" t="s">
        <v>147</v>
      </c>
      <c r="S5" s="41" t="s">
        <v>148</v>
      </c>
      <c r="T5" s="41" t="s">
        <v>151</v>
      </c>
      <c r="U5" s="41" t="s">
        <v>152</v>
      </c>
      <c r="V5" s="41" t="s">
        <v>153</v>
      </c>
      <c r="W5" s="41" t="s">
        <v>154</v>
      </c>
      <c r="X5" s="38" t="s">
        <v>155</v>
      </c>
      <c r="Y5" s="42" t="s">
        <v>156</v>
      </c>
      <c r="Z5" s="42" t="s">
        <v>157</v>
      </c>
    </row>
    <row r="6" customFormat="false" ht="15" hidden="false" customHeight="false" outlineLevel="0" collapsed="false">
      <c r="A6" s="43" t="s">
        <v>158</v>
      </c>
      <c r="B6" s="27" t="s">
        <v>25</v>
      </c>
      <c r="C6" s="44" t="s">
        <v>15</v>
      </c>
      <c r="D6" s="45" t="s">
        <v>159</v>
      </c>
      <c r="E6" s="46" t="n">
        <v>1000</v>
      </c>
      <c r="F6" s="47" t="n">
        <v>0</v>
      </c>
      <c r="G6" s="48" t="n">
        <v>1</v>
      </c>
      <c r="H6" s="49" t="n">
        <v>11.27</v>
      </c>
      <c r="I6" s="50" t="n">
        <v>0</v>
      </c>
      <c r="J6" s="51" t="n">
        <f aca="false">SUMIFS(Détail!$F$2:$F$929,Détail!$E$2:$E$929,$B6,Détail!$D$2:$D$929,"Nicolas",Détail!$J$2:$J$929,1)</f>
        <v>660</v>
      </c>
      <c r="K6" s="51" t="n">
        <f aca="false">SUMIFS(Détail!$F$2:$F$929,Détail!$E$2:$E$929,$B6,Détail!$D$2:$D$929,"Aurélie",Détail!$J$2:$J$929,1)</f>
        <v>520</v>
      </c>
      <c r="L6" s="52" t="n">
        <f aca="false">IF(J6+K6-I6&lt;=0,0,IF(F6=1,(J6+K6-I6)/G6,ROUNDUP((J6+K6-I6)/E6,0)))</f>
        <v>2</v>
      </c>
      <c r="M6" s="53" t="n">
        <f aca="false">IF(H6="",0,IF(F6=1,L6/1000*H6,L6*H6))</f>
        <v>22.54</v>
      </c>
      <c r="N6" s="54" t="n">
        <f aca="false">SUMIFS(Détail!$F$2:$F$929,Détail!$E$2:$E$929,$B6,Détail!$D$2:$D$929,"Nicolas",Détail!$J$2:$J$929,2)</f>
        <v>2110</v>
      </c>
      <c r="O6" s="54" t="n">
        <f aca="false">SUMIFS(Détail!$F$2:$F$929,Détail!$E$2:$E$929,$B6,Détail!$D$2:$D$929,"Aurélie",Détail!$J$2:$J$929,2)</f>
        <v>1670</v>
      </c>
      <c r="P6" s="55" t="n">
        <f aca="false">IF(N6+O6-Z6&lt;=0,0,IF(F6=1,(N6+O6-Z6)/G6,ROUNDUP((N6+O6-Z6)/E6,0)))</f>
        <v>3</v>
      </c>
      <c r="Q6" s="56" t="n">
        <f aca="false">IF(H6="",0,IF(F6=1,P6/1000*H6,P6*H6))</f>
        <v>33.81</v>
      </c>
      <c r="R6" s="57" t="n">
        <f aca="false">J6+N6</f>
        <v>2770</v>
      </c>
      <c r="S6" s="57" t="n">
        <f aca="false">K6+O6</f>
        <v>2190</v>
      </c>
      <c r="T6" s="58" t="n">
        <f aca="false">R6*Y6</f>
        <v>31.2179</v>
      </c>
      <c r="U6" s="58" t="n">
        <f aca="false">S6*Y6</f>
        <v>24.6813</v>
      </c>
      <c r="V6" s="57" t="n">
        <f aca="false">Z6+IF(F6=1,P6*G6,P6*E6)-(N6+O6)</f>
        <v>40</v>
      </c>
      <c r="W6" s="58" t="n">
        <f aca="false">V6*Y6</f>
        <v>0.4508</v>
      </c>
      <c r="X6" s="45" t="s">
        <v>160</v>
      </c>
      <c r="Y6" s="59" t="n">
        <f aca="false">IF(H6="",0,IF(F6=1,H6/1000/G6,H6/E6))</f>
        <v>0.01127</v>
      </c>
      <c r="Z6" s="57" t="n">
        <f aca="false">I6+IF(F6=1,L6*G6,L6*E6)-(J6+K6)</f>
        <v>820</v>
      </c>
    </row>
    <row r="7" customFormat="false" ht="15" hidden="false" customHeight="false" outlineLevel="0" collapsed="false">
      <c r="A7" s="43" t="s">
        <v>158</v>
      </c>
      <c r="B7" s="27" t="s">
        <v>51</v>
      </c>
      <c r="C7" s="44" t="s">
        <v>15</v>
      </c>
      <c r="D7" s="45" t="s">
        <v>161</v>
      </c>
      <c r="E7" s="46" t="n">
        <v>900</v>
      </c>
      <c r="F7" s="47" t="n">
        <v>0</v>
      </c>
      <c r="G7" s="48" t="n">
        <v>1</v>
      </c>
      <c r="H7" s="49" t="n">
        <v>8.4</v>
      </c>
      <c r="I7" s="50" t="n">
        <v>0</v>
      </c>
      <c r="J7" s="51" t="n">
        <f aca="false">SUMIFS(Détail!$F$2:$F$929,Détail!$E$2:$E$929,$B7,Détail!$D$2:$D$929,"Nicolas",Détail!$J$2:$J$929,1)</f>
        <v>280</v>
      </c>
      <c r="K7" s="51" t="n">
        <f aca="false">SUMIFS(Détail!$F$2:$F$929,Détail!$E$2:$E$929,$B7,Détail!$D$2:$D$929,"Aurélie",Détail!$J$2:$J$929,1)</f>
        <v>220</v>
      </c>
      <c r="L7" s="52" t="n">
        <f aca="false">IF(J7+K7-I7&lt;=0,0,IF(F7=1,(J7+K7-I7)/G7,ROUNDUP((J7+K7-I7)/E7,0)))</f>
        <v>1</v>
      </c>
      <c r="M7" s="53" t="n">
        <f aca="false">IF(H7="",0,IF(F7=1,L7/1000*H7,L7*H7))</f>
        <v>8.4</v>
      </c>
      <c r="N7" s="54" t="n">
        <f aca="false">SUMIFS(Détail!$F$2:$F$929,Détail!$E$2:$E$929,$B7,Détail!$D$2:$D$929,"Nicolas",Détail!$J$2:$J$929,2)</f>
        <v>660</v>
      </c>
      <c r="O7" s="54" t="n">
        <f aca="false">SUMIFS(Détail!$F$2:$F$929,Détail!$E$2:$E$929,$B7,Détail!$D$2:$D$929,"Aurélie",Détail!$J$2:$J$929,2)</f>
        <v>515</v>
      </c>
      <c r="P7" s="55" t="n">
        <f aca="false">IF(N7+O7-Z7&lt;=0,0,IF(F7=1,(N7+O7-Z7)/G7,ROUNDUP((N7+O7-Z7)/E7,0)))</f>
        <v>1</v>
      </c>
      <c r="Q7" s="56" t="n">
        <f aca="false">IF(H7="",0,IF(F7=1,P7/1000*H7,P7*H7))</f>
        <v>8.4</v>
      </c>
      <c r="R7" s="57" t="n">
        <f aca="false">J7+N7</f>
        <v>940</v>
      </c>
      <c r="S7" s="57" t="n">
        <f aca="false">K7+O7</f>
        <v>735</v>
      </c>
      <c r="T7" s="58" t="n">
        <f aca="false">R7*Y7</f>
        <v>8.77333333333333</v>
      </c>
      <c r="U7" s="58" t="n">
        <f aca="false">S7*Y7</f>
        <v>6.86</v>
      </c>
      <c r="V7" s="57" t="n">
        <f aca="false">Z7+IF(F7=1,P7*G7,P7*E7)-(N7+O7)</f>
        <v>125</v>
      </c>
      <c r="W7" s="58" t="n">
        <f aca="false">V7*Y7</f>
        <v>1.16666666666667</v>
      </c>
      <c r="X7" s="45" t="s">
        <v>162</v>
      </c>
      <c r="Y7" s="59" t="n">
        <f aca="false">IF(H7="",0,IF(F7=1,H7/1000/G7,H7/E7))</f>
        <v>0.00933333333333333</v>
      </c>
      <c r="Z7" s="57" t="n">
        <f aca="false">I7+IF(F7=1,L7*G7,L7*E7)-(J7+K7)</f>
        <v>400</v>
      </c>
    </row>
    <row r="8" customFormat="false" ht="15" hidden="false" customHeight="false" outlineLevel="0" collapsed="false">
      <c r="A8" s="43" t="s">
        <v>158</v>
      </c>
      <c r="B8" s="27" t="s">
        <v>80</v>
      </c>
      <c r="C8" s="44" t="s">
        <v>15</v>
      </c>
      <c r="D8" s="45" t="s">
        <v>163</v>
      </c>
      <c r="E8" s="46" t="n">
        <v>200</v>
      </c>
      <c r="F8" s="47" t="n">
        <v>0</v>
      </c>
      <c r="G8" s="48" t="n">
        <v>1</v>
      </c>
      <c r="H8" s="49" t="n">
        <v>1.27</v>
      </c>
      <c r="I8" s="50" t="n">
        <v>0</v>
      </c>
      <c r="J8" s="51" t="n">
        <f aca="false">SUMIFS(Détail!$F$2:$F$929,Détail!$E$2:$E$929,$B8,Détail!$D$2:$D$929,"Nicolas",Détail!$J$2:$J$929,1)</f>
        <v>0</v>
      </c>
      <c r="K8" s="51" t="n">
        <f aca="false">SUMIFS(Détail!$F$2:$F$929,Détail!$E$2:$E$929,$B8,Détail!$D$2:$D$929,"Aurélie",Détail!$J$2:$J$929,1)</f>
        <v>0</v>
      </c>
      <c r="L8" s="52" t="n">
        <f aca="false">IF(J8+K8-I8&lt;=0,0,IF(F8=1,(J8+K8-I8)/G8,ROUNDUP((J8+K8-I8)/E8,0)))</f>
        <v>0</v>
      </c>
      <c r="M8" s="53" t="n">
        <f aca="false">IF(H8="",0,IF(F8=1,L8/1000*H8,L8*H8))</f>
        <v>0</v>
      </c>
      <c r="N8" s="54" t="n">
        <f aca="false">SUMIFS(Détail!$F$2:$F$929,Détail!$E$2:$E$929,$B8,Détail!$D$2:$D$929,"Nicolas",Détail!$J$2:$J$929,2)</f>
        <v>120</v>
      </c>
      <c r="O8" s="54" t="n">
        <f aca="false">SUMIFS(Détail!$F$2:$F$929,Détail!$E$2:$E$929,$B8,Détail!$D$2:$D$929,"Aurélie",Détail!$J$2:$J$929,2)</f>
        <v>80</v>
      </c>
      <c r="P8" s="55" t="n">
        <f aca="false">IF(N8+O8-Z8&lt;=0,0,IF(F8=1,(N8+O8-Z8)/G8,ROUNDUP((N8+O8-Z8)/E8,0)))</f>
        <v>1</v>
      </c>
      <c r="Q8" s="56" t="n">
        <f aca="false">IF(H8="",0,IF(F8=1,P8/1000*H8,P8*H8))</f>
        <v>1.27</v>
      </c>
      <c r="R8" s="57" t="n">
        <f aca="false">J8+N8</f>
        <v>120</v>
      </c>
      <c r="S8" s="57" t="n">
        <f aca="false">K8+O8</f>
        <v>80</v>
      </c>
      <c r="T8" s="58" t="n">
        <f aca="false">R8*Y8</f>
        <v>0.762</v>
      </c>
      <c r="U8" s="58" t="n">
        <f aca="false">S8*Y8</f>
        <v>0.508</v>
      </c>
      <c r="V8" s="57" t="n">
        <f aca="false">Z8+IF(F8=1,P8*G8,P8*E8)-(N8+O8)</f>
        <v>0</v>
      </c>
      <c r="W8" s="58" t="n">
        <f aca="false">V8*Y8</f>
        <v>0</v>
      </c>
      <c r="X8" s="45" t="s">
        <v>164</v>
      </c>
      <c r="Y8" s="59" t="n">
        <f aca="false">IF(H8="",0,IF(F8=1,H8/1000/G8,H8/E8))</f>
        <v>0.00635</v>
      </c>
      <c r="Z8" s="57" t="n">
        <f aca="false">I8+IF(F8=1,L8*G8,L8*E8)-(J8+K8)</f>
        <v>0</v>
      </c>
    </row>
    <row r="9" customFormat="false" ht="23.85" hidden="false" customHeight="false" outlineLevel="0" collapsed="false">
      <c r="A9" s="43" t="s">
        <v>158</v>
      </c>
      <c r="B9" s="27" t="s">
        <v>19</v>
      </c>
      <c r="C9" s="44" t="s">
        <v>15</v>
      </c>
      <c r="D9" s="45" t="s">
        <v>165</v>
      </c>
      <c r="E9" s="46" t="n">
        <v>500</v>
      </c>
      <c r="F9" s="47" t="n">
        <v>0</v>
      </c>
      <c r="G9" s="48" t="n">
        <v>1</v>
      </c>
      <c r="H9" s="49" t="n">
        <v>5.62</v>
      </c>
      <c r="I9" s="50" t="n">
        <v>0</v>
      </c>
      <c r="J9" s="51" t="n">
        <f aca="false">SUMIFS(Détail!$F$2:$F$929,Détail!$E$2:$E$929,$B9,Détail!$D$2:$D$929,"Nicolas",Détail!$J$2:$J$929,1)</f>
        <v>0</v>
      </c>
      <c r="K9" s="51" t="n">
        <f aca="false">SUMIFS(Détail!$F$2:$F$929,Détail!$E$2:$E$929,$B9,Détail!$D$2:$D$929,"Aurélie",Détail!$J$2:$J$929,1)</f>
        <v>150</v>
      </c>
      <c r="L9" s="52" t="n">
        <f aca="false">IF(J9+K9-I9&lt;=0,0,IF(F9=1,(J9+K9-I9)/G9,ROUNDUP((J9+K9-I9)/E9,0)))</f>
        <v>1</v>
      </c>
      <c r="M9" s="53" t="n">
        <f aca="false">IF(H9="",0,IF(F9=1,L9/1000*H9,L9*H9))</f>
        <v>5.62</v>
      </c>
      <c r="N9" s="54" t="n">
        <f aca="false">SUMIFS(Détail!$F$2:$F$929,Détail!$E$2:$E$929,$B9,Détail!$D$2:$D$929,"Nicolas",Détail!$J$2:$J$929,2)</f>
        <v>40</v>
      </c>
      <c r="O9" s="54" t="n">
        <f aca="false">SUMIFS(Détail!$F$2:$F$929,Détail!$E$2:$E$929,$B9,Détail!$D$2:$D$929,"Aurélie",Détail!$J$2:$J$929,2)</f>
        <v>510</v>
      </c>
      <c r="P9" s="55" t="n">
        <f aca="false">IF(N9+O9-Z9&lt;=0,0,IF(F9=1,(N9+O9-Z9)/G9,ROUNDUP((N9+O9-Z9)/E9,0)))</f>
        <v>1</v>
      </c>
      <c r="Q9" s="56" t="n">
        <f aca="false">IF(H9="",0,IF(F9=1,P9/1000*H9,P9*H9))</f>
        <v>5.62</v>
      </c>
      <c r="R9" s="57" t="n">
        <f aca="false">J9+N9</f>
        <v>40</v>
      </c>
      <c r="S9" s="57" t="n">
        <f aca="false">K9+O9</f>
        <v>660</v>
      </c>
      <c r="T9" s="58" t="n">
        <f aca="false">R9*Y9</f>
        <v>0.4496</v>
      </c>
      <c r="U9" s="58" t="n">
        <f aca="false">S9*Y9</f>
        <v>7.4184</v>
      </c>
      <c r="V9" s="57" t="n">
        <f aca="false">Z9+IF(F9=1,P9*G9,P9*E9)-(N9+O9)</f>
        <v>300</v>
      </c>
      <c r="W9" s="58" t="n">
        <f aca="false">V9*Y9</f>
        <v>3.372</v>
      </c>
      <c r="X9" s="45" t="s">
        <v>166</v>
      </c>
      <c r="Y9" s="59" t="n">
        <f aca="false">IF(H9="",0,IF(F9=1,H9/1000/G9,H9/E9))</f>
        <v>0.01124</v>
      </c>
      <c r="Z9" s="57" t="n">
        <f aca="false">I9+IF(F9=1,L9*G9,L9*E9)-(J9+K9)</f>
        <v>350</v>
      </c>
    </row>
    <row r="10" customFormat="false" ht="15" hidden="false" customHeight="false" outlineLevel="0" collapsed="false">
      <c r="A10" s="43" t="s">
        <v>167</v>
      </c>
      <c r="B10" s="27" t="s">
        <v>31</v>
      </c>
      <c r="C10" s="44" t="s">
        <v>15</v>
      </c>
      <c r="D10" s="45" t="s">
        <v>168</v>
      </c>
      <c r="E10" s="46" t="n">
        <v>1000</v>
      </c>
      <c r="F10" s="47" t="n">
        <v>0</v>
      </c>
      <c r="G10" s="48" t="n">
        <v>1</v>
      </c>
      <c r="H10" s="49" t="n">
        <v>7.49</v>
      </c>
      <c r="I10" s="50" t="n">
        <v>0</v>
      </c>
      <c r="J10" s="51" t="n">
        <f aca="false">SUMIFS(Détail!$F$2:$F$929,Détail!$E$2:$E$929,$B10,Détail!$D$2:$D$929,"Nicolas",Détail!$J$2:$J$929,1)</f>
        <v>150</v>
      </c>
      <c r="K10" s="51" t="n">
        <f aca="false">SUMIFS(Détail!$F$2:$F$929,Détail!$E$2:$E$929,$B10,Détail!$D$2:$D$929,"Aurélie",Détail!$J$2:$J$929,1)</f>
        <v>125</v>
      </c>
      <c r="L10" s="52" t="n">
        <f aca="false">IF(J10+K10-I10&lt;=0,0,IF(F10=1,(J10+K10-I10)/G10,ROUNDUP((J10+K10-I10)/E10,0)))</f>
        <v>1</v>
      </c>
      <c r="M10" s="53" t="n">
        <f aca="false">IF(H10="",0,IF(F10=1,L10/1000*H10,L10*H10))</f>
        <v>7.49</v>
      </c>
      <c r="N10" s="54" t="n">
        <f aca="false">SUMIFS(Détail!$F$2:$F$929,Détail!$E$2:$E$929,$B10,Détail!$D$2:$D$929,"Nicolas",Détail!$J$2:$J$929,2)</f>
        <v>900</v>
      </c>
      <c r="O10" s="54" t="n">
        <f aca="false">SUMIFS(Détail!$F$2:$F$929,Détail!$E$2:$E$929,$B10,Détail!$D$2:$D$929,"Aurélie",Détail!$J$2:$J$929,2)</f>
        <v>750</v>
      </c>
      <c r="P10" s="55" t="n">
        <f aca="false">IF(N10+O10-Z10&lt;=0,0,IF(F10=1,(N10+O10-Z10)/G10,ROUNDUP((N10+O10-Z10)/E10,0)))</f>
        <v>1</v>
      </c>
      <c r="Q10" s="56" t="n">
        <f aca="false">IF(H10="",0,IF(F10=1,P10/1000*H10,P10*H10))</f>
        <v>7.49</v>
      </c>
      <c r="R10" s="57" t="n">
        <f aca="false">J10+N10</f>
        <v>1050</v>
      </c>
      <c r="S10" s="57" t="n">
        <f aca="false">K10+O10</f>
        <v>875</v>
      </c>
      <c r="T10" s="58" t="n">
        <f aca="false">R10*Y10</f>
        <v>7.8645</v>
      </c>
      <c r="U10" s="58" t="n">
        <f aca="false">S10*Y10</f>
        <v>6.55375</v>
      </c>
      <c r="V10" s="57" t="n">
        <f aca="false">Z10+IF(F10=1,P10*G10,P10*E10)-(N10+O10)</f>
        <v>75</v>
      </c>
      <c r="W10" s="58" t="n">
        <f aca="false">V10*Y10</f>
        <v>0.56175</v>
      </c>
      <c r="X10" s="45" t="s">
        <v>169</v>
      </c>
      <c r="Y10" s="59" t="n">
        <f aca="false">IF(H10="",0,IF(F10=1,H10/1000/G10,H10/E10))</f>
        <v>0.00749</v>
      </c>
      <c r="Z10" s="57" t="n">
        <f aca="false">I10+IF(F10=1,L10*G10,L10*E10)-(J10+K10)</f>
        <v>725</v>
      </c>
    </row>
    <row r="11" customFormat="false" ht="15" hidden="false" customHeight="false" outlineLevel="0" collapsed="false">
      <c r="A11" s="43" t="s">
        <v>170</v>
      </c>
      <c r="B11" s="27" t="s">
        <v>17</v>
      </c>
      <c r="C11" s="44" t="s">
        <v>171</v>
      </c>
      <c r="D11" s="45" t="s">
        <v>172</v>
      </c>
      <c r="E11" s="46" t="n">
        <v>12</v>
      </c>
      <c r="F11" s="47" t="n">
        <v>0</v>
      </c>
      <c r="G11" s="48" t="n">
        <v>1</v>
      </c>
      <c r="H11" s="49" t="n">
        <v>3.8</v>
      </c>
      <c r="I11" s="50" t="n">
        <v>0</v>
      </c>
      <c r="J11" s="51" t="n">
        <f aca="false">SUMIFS(Détail!$F$2:$F$929,Détail!$E$2:$E$929,$B11,Détail!$D$2:$D$929,"Nicolas",Détail!$J$2:$J$929,1)</f>
        <v>10</v>
      </c>
      <c r="K11" s="51" t="n">
        <f aca="false">SUMIFS(Détail!$F$2:$F$929,Détail!$E$2:$E$929,$B11,Détail!$D$2:$D$929,"Aurélie",Détail!$J$2:$J$929,1)</f>
        <v>14</v>
      </c>
      <c r="L11" s="52" t="n">
        <f aca="false">IF(J11+K11-I11&lt;=0,0,IF(F11=1,(J11+K11-I11)/G11,ROUNDUP((J11+K11-I11)/E11,0)))</f>
        <v>2</v>
      </c>
      <c r="M11" s="53" t="n">
        <f aca="false">IF(H11="",0,IF(F11=1,L11/1000*H11,L11*H11))</f>
        <v>7.6</v>
      </c>
      <c r="N11" s="54" t="n">
        <f aca="false">SUMIFS(Détail!$F$2:$F$929,Détail!$E$2:$E$929,$B11,Détail!$D$2:$D$929,"Nicolas",Détail!$J$2:$J$929,2)</f>
        <v>26</v>
      </c>
      <c r="O11" s="54" t="n">
        <f aca="false">SUMIFS(Détail!$F$2:$F$929,Détail!$E$2:$E$929,$B11,Détail!$D$2:$D$929,"Aurélie",Détail!$J$2:$J$929,2)</f>
        <v>41</v>
      </c>
      <c r="P11" s="55" t="n">
        <f aca="false">IF(N11+O11-Z11&lt;=0,0,IF(F11=1,(N11+O11-Z11)/G11,ROUNDUP((N11+O11-Z11)/E11,0)))</f>
        <v>6</v>
      </c>
      <c r="Q11" s="56" t="n">
        <f aca="false">IF(H11="",0,IF(F11=1,P11/1000*H11,P11*H11))</f>
        <v>22.8</v>
      </c>
      <c r="R11" s="57" t="n">
        <f aca="false">J11+N11</f>
        <v>36</v>
      </c>
      <c r="S11" s="57" t="n">
        <f aca="false">K11+O11</f>
        <v>55</v>
      </c>
      <c r="T11" s="58" t="n">
        <f aca="false">R11*Y11</f>
        <v>11.4</v>
      </c>
      <c r="U11" s="58" t="n">
        <f aca="false">S11*Y11</f>
        <v>17.4166666666667</v>
      </c>
      <c r="V11" s="57" t="n">
        <f aca="false">Z11+IF(F11=1,P11*G11,P11*E11)-(N11+O11)</f>
        <v>5</v>
      </c>
      <c r="W11" s="58" t="n">
        <f aca="false">V11*Y11</f>
        <v>1.58333333333333</v>
      </c>
      <c r="X11" s="45" t="s">
        <v>173</v>
      </c>
      <c r="Y11" s="59" t="n">
        <f aca="false">IF(H11="",0,IF(F11=1,H11/1000/G11,H11/E11))</f>
        <v>0.316666666666667</v>
      </c>
      <c r="Z11" s="57" t="n">
        <f aca="false">I11+IF(F11=1,L11*G11,L11*E11)-(J11+K11)</f>
        <v>0</v>
      </c>
    </row>
    <row r="12" customFormat="false" ht="15" hidden="false" customHeight="false" outlineLevel="0" collapsed="false">
      <c r="A12" s="43" t="s">
        <v>170</v>
      </c>
      <c r="B12" s="27" t="s">
        <v>12</v>
      </c>
      <c r="C12" s="44" t="s">
        <v>13</v>
      </c>
      <c r="D12" s="45" t="s">
        <v>174</v>
      </c>
      <c r="E12" s="46" t="n">
        <v>1000</v>
      </c>
      <c r="F12" s="47" t="n">
        <v>0</v>
      </c>
      <c r="G12" s="48" t="n">
        <v>1</v>
      </c>
      <c r="H12" s="49" t="n">
        <v>1.19</v>
      </c>
      <c r="I12" s="50" t="n">
        <v>0</v>
      </c>
      <c r="J12" s="51" t="n">
        <f aca="false">SUMIFS(Détail!$F$2:$F$929,Détail!$E$2:$E$929,$B12,Détail!$D$2:$D$929,"Nicolas",Détail!$J$2:$J$929,1)</f>
        <v>1250</v>
      </c>
      <c r="K12" s="51" t="n">
        <f aca="false">SUMIFS(Détail!$F$2:$F$929,Détail!$E$2:$E$929,$B12,Détail!$D$2:$D$929,"Aurélie",Détail!$J$2:$J$929,1)</f>
        <v>0</v>
      </c>
      <c r="L12" s="52" t="n">
        <f aca="false">IF(J12+K12-I12&lt;=0,0,IF(F12=1,(J12+K12-I12)/G12,ROUNDUP((J12+K12-I12)/E12,0)))</f>
        <v>2</v>
      </c>
      <c r="M12" s="53" t="n">
        <f aca="false">IF(H12="",0,IF(F12=1,L12/1000*H12,L12*H12))</f>
        <v>2.38</v>
      </c>
      <c r="N12" s="54" t="n">
        <f aca="false">SUMIFS(Détail!$F$2:$F$929,Détail!$E$2:$E$929,$B12,Détail!$D$2:$D$929,"Nicolas",Détail!$J$2:$J$929,2)</f>
        <v>4260</v>
      </c>
      <c r="O12" s="54" t="n">
        <f aca="false">SUMIFS(Détail!$F$2:$F$929,Détail!$E$2:$E$929,$B12,Détail!$D$2:$D$929,"Aurélie",Détail!$J$2:$J$929,2)</f>
        <v>220</v>
      </c>
      <c r="P12" s="55" t="n">
        <f aca="false">IF(N12+O12-Z12&lt;=0,0,IF(F12=1,(N12+O12-Z12)/G12,ROUNDUP((N12+O12-Z12)/E12,0)))</f>
        <v>4</v>
      </c>
      <c r="Q12" s="56" t="n">
        <f aca="false">IF(H12="",0,IF(F12=1,P12/1000*H12,P12*H12))</f>
        <v>4.76</v>
      </c>
      <c r="R12" s="57" t="n">
        <f aca="false">J12+N12</f>
        <v>5510</v>
      </c>
      <c r="S12" s="57" t="n">
        <f aca="false">K12+O12</f>
        <v>220</v>
      </c>
      <c r="T12" s="58" t="n">
        <f aca="false">R12*Y12</f>
        <v>6.5569</v>
      </c>
      <c r="U12" s="58" t="n">
        <f aca="false">S12*Y12</f>
        <v>0.2618</v>
      </c>
      <c r="V12" s="57" t="n">
        <f aca="false">Z12+IF(F12=1,P12*G12,P12*E12)-(N12+O12)</f>
        <v>270</v>
      </c>
      <c r="W12" s="58" t="n">
        <f aca="false">V12*Y12</f>
        <v>0.3213</v>
      </c>
      <c r="X12" s="45" t="s">
        <v>175</v>
      </c>
      <c r="Y12" s="59" t="n">
        <f aca="false">IF(H12="",0,IF(F12=1,H12/1000/G12,H12/E12))</f>
        <v>0.00119</v>
      </c>
      <c r="Z12" s="57" t="n">
        <f aca="false">I12+IF(F12=1,L12*G12,L12*E12)-(J12+K12)</f>
        <v>750</v>
      </c>
    </row>
    <row r="13" customFormat="false" ht="15" hidden="false" customHeight="false" outlineLevel="0" collapsed="false">
      <c r="A13" s="43" t="s">
        <v>170</v>
      </c>
      <c r="B13" s="27" t="s">
        <v>38</v>
      </c>
      <c r="C13" s="44" t="s">
        <v>15</v>
      </c>
      <c r="D13" s="45" t="s">
        <v>176</v>
      </c>
      <c r="E13" s="46" t="n">
        <v>500</v>
      </c>
      <c r="F13" s="47" t="n">
        <v>0</v>
      </c>
      <c r="G13" s="48" t="n">
        <v>1</v>
      </c>
      <c r="H13" s="49" t="n">
        <v>3.25</v>
      </c>
      <c r="I13" s="50" t="n">
        <v>0</v>
      </c>
      <c r="J13" s="51" t="n">
        <f aca="false">SUMIFS(Détail!$F$2:$F$929,Détail!$E$2:$E$929,$B13,Détail!$D$2:$D$929,"Nicolas",Détail!$J$2:$J$929,1)</f>
        <v>250</v>
      </c>
      <c r="K13" s="51" t="n">
        <f aca="false">SUMIFS(Détail!$F$2:$F$929,Détail!$E$2:$E$929,$B13,Détail!$D$2:$D$929,"Aurélie",Détail!$J$2:$J$929,1)</f>
        <v>250</v>
      </c>
      <c r="L13" s="52" t="n">
        <f aca="false">IF(J13+K13-I13&lt;=0,0,IF(F13=1,(J13+K13-I13)/G13,ROUNDUP((J13+K13-I13)/E13,0)))</f>
        <v>1</v>
      </c>
      <c r="M13" s="53" t="n">
        <f aca="false">IF(H13="",0,IF(F13=1,L13/1000*H13,L13*H13))</f>
        <v>3.25</v>
      </c>
      <c r="N13" s="54" t="n">
        <f aca="false">SUMIFS(Détail!$F$2:$F$929,Détail!$E$2:$E$929,$B13,Détail!$D$2:$D$929,"Nicolas",Détail!$J$2:$J$929,2)</f>
        <v>750</v>
      </c>
      <c r="O13" s="54" t="n">
        <f aca="false">SUMIFS(Détail!$F$2:$F$929,Détail!$E$2:$E$929,$B13,Détail!$D$2:$D$929,"Aurélie",Détail!$J$2:$J$929,2)</f>
        <v>750</v>
      </c>
      <c r="P13" s="55" t="n">
        <f aca="false">IF(N13+O13-Z13&lt;=0,0,IF(F13=1,(N13+O13-Z13)/G13,ROUNDUP((N13+O13-Z13)/E13,0)))</f>
        <v>3</v>
      </c>
      <c r="Q13" s="56" t="n">
        <f aca="false">IF(H13="",0,IF(F13=1,P13/1000*H13,P13*H13))</f>
        <v>9.75</v>
      </c>
      <c r="R13" s="57" t="n">
        <f aca="false">J13+N13</f>
        <v>1000</v>
      </c>
      <c r="S13" s="57" t="n">
        <f aca="false">K13+O13</f>
        <v>1000</v>
      </c>
      <c r="T13" s="58" t="n">
        <f aca="false">R13*Y13</f>
        <v>6.5</v>
      </c>
      <c r="U13" s="58" t="n">
        <f aca="false">S13*Y13</f>
        <v>6.5</v>
      </c>
      <c r="V13" s="57" t="n">
        <f aca="false">Z13+IF(F13=1,P13*G13,P13*E13)-(N13+O13)</f>
        <v>0</v>
      </c>
      <c r="W13" s="58" t="n">
        <f aca="false">V13*Y13</f>
        <v>0</v>
      </c>
      <c r="X13" s="45" t="s">
        <v>173</v>
      </c>
      <c r="Y13" s="59" t="n">
        <f aca="false">IF(H13="",0,IF(F13=1,H13/1000/G13,H13/E13))</f>
        <v>0.0065</v>
      </c>
      <c r="Z13" s="57" t="n">
        <f aca="false">I13+IF(F13=1,L13*G13,L13*E13)-(J13+K13)</f>
        <v>0</v>
      </c>
    </row>
    <row r="14" customFormat="false" ht="15" hidden="false" customHeight="false" outlineLevel="0" collapsed="false">
      <c r="A14" s="43" t="s">
        <v>170</v>
      </c>
      <c r="B14" s="27" t="s">
        <v>85</v>
      </c>
      <c r="C14" s="44" t="s">
        <v>15</v>
      </c>
      <c r="D14" s="45" t="s">
        <v>177</v>
      </c>
      <c r="E14" s="46" t="n">
        <v>150</v>
      </c>
      <c r="F14" s="47" t="n">
        <v>0</v>
      </c>
      <c r="G14" s="48" t="n">
        <v>1</v>
      </c>
      <c r="H14" s="49" t="n">
        <v>3.13</v>
      </c>
      <c r="I14" s="50" t="n">
        <v>0</v>
      </c>
      <c r="J14" s="51" t="n">
        <f aca="false">SUMIFS(Détail!$F$2:$F$929,Détail!$E$2:$E$929,$B14,Détail!$D$2:$D$929,"Nicolas",Détail!$J$2:$J$929,1)</f>
        <v>0</v>
      </c>
      <c r="K14" s="51" t="n">
        <f aca="false">SUMIFS(Détail!$F$2:$F$929,Détail!$E$2:$E$929,$B14,Détail!$D$2:$D$929,"Aurélie",Détail!$J$2:$J$929,1)</f>
        <v>0</v>
      </c>
      <c r="L14" s="52" t="n">
        <f aca="false">IF(J14+K14-I14&lt;=0,0,IF(F14=1,(J14+K14-I14)/G14,ROUNDUP((J14+K14-I14)/E14,0)))</f>
        <v>0</v>
      </c>
      <c r="M14" s="53" t="n">
        <f aca="false">IF(H14="",0,IF(F14=1,L14/1000*H14,L14*H14))</f>
        <v>0</v>
      </c>
      <c r="N14" s="54" t="n">
        <f aca="false">SUMIFS(Détail!$F$2:$F$929,Détail!$E$2:$E$929,$B14,Détail!$D$2:$D$929,"Nicolas",Détail!$J$2:$J$929,2)</f>
        <v>110</v>
      </c>
      <c r="O14" s="54" t="n">
        <f aca="false">SUMIFS(Détail!$F$2:$F$929,Détail!$E$2:$E$929,$B14,Détail!$D$2:$D$929,"Aurélie",Détail!$J$2:$J$929,2)</f>
        <v>85</v>
      </c>
      <c r="P14" s="55" t="n">
        <f aca="false">IF(N14+O14-Z14&lt;=0,0,IF(F14=1,(N14+O14-Z14)/G14,ROUNDUP((N14+O14-Z14)/E14,0)))</f>
        <v>2</v>
      </c>
      <c r="Q14" s="56" t="n">
        <f aca="false">IF(H14="",0,IF(F14=1,P14/1000*H14,P14*H14))</f>
        <v>6.26</v>
      </c>
      <c r="R14" s="57" t="n">
        <f aca="false">J14+N14</f>
        <v>110</v>
      </c>
      <c r="S14" s="57" t="n">
        <f aca="false">K14+O14</f>
        <v>85</v>
      </c>
      <c r="T14" s="58" t="n">
        <f aca="false">R14*Y14</f>
        <v>2.29533333333333</v>
      </c>
      <c r="U14" s="58" t="n">
        <f aca="false">S14*Y14</f>
        <v>1.77366666666667</v>
      </c>
      <c r="V14" s="57" t="n">
        <f aca="false">Z14+IF(F14=1,P14*G14,P14*E14)-(N14+O14)</f>
        <v>105</v>
      </c>
      <c r="W14" s="58" t="n">
        <f aca="false">V14*Y14</f>
        <v>2.191</v>
      </c>
      <c r="X14" s="45" t="s">
        <v>178</v>
      </c>
      <c r="Y14" s="59" t="n">
        <f aca="false">IF(H14="",0,IF(F14=1,H14/1000/G14,H14/E14))</f>
        <v>0.0208666666666667</v>
      </c>
      <c r="Z14" s="57" t="n">
        <f aca="false">I14+IF(F14=1,L14*G14,L14*E14)-(J14+K14)</f>
        <v>0</v>
      </c>
    </row>
    <row r="15" customFormat="false" ht="15" hidden="false" customHeight="false" outlineLevel="0" collapsed="false">
      <c r="A15" s="43" t="s">
        <v>170</v>
      </c>
      <c r="B15" s="27" t="s">
        <v>55</v>
      </c>
      <c r="C15" s="44" t="s">
        <v>15</v>
      </c>
      <c r="D15" s="45" t="s">
        <v>179</v>
      </c>
      <c r="E15" s="46" t="n">
        <v>1</v>
      </c>
      <c r="F15" s="47" t="n">
        <v>1</v>
      </c>
      <c r="G15" s="48" t="n">
        <v>1</v>
      </c>
      <c r="H15" s="49" t="n">
        <v>16.5</v>
      </c>
      <c r="I15" s="50" t="n">
        <v>0</v>
      </c>
      <c r="J15" s="51" t="n">
        <f aca="false">SUMIFS(Détail!$F$2:$F$929,Détail!$E$2:$E$929,$B15,Détail!$D$2:$D$929,"Nicolas",Détail!$J$2:$J$929,1)</f>
        <v>20</v>
      </c>
      <c r="K15" s="51" t="n">
        <f aca="false">SUMIFS(Détail!$F$2:$F$929,Détail!$E$2:$E$929,$B15,Détail!$D$2:$D$929,"Aurélie",Détail!$J$2:$J$929,1)</f>
        <v>15</v>
      </c>
      <c r="L15" s="52" t="n">
        <f aca="false">IF(J15+K15-I15&lt;=0,0,IF(F15=1,(J15+K15-I15)/G15,ROUNDUP((J15+K15-I15)/E15,0)))</f>
        <v>35</v>
      </c>
      <c r="M15" s="53" t="n">
        <f aca="false">IF(H15="",0,IF(F15=1,L15/1000*H15,L15*H15))</f>
        <v>0.5775</v>
      </c>
      <c r="N15" s="54" t="n">
        <f aca="false">SUMIFS(Détail!$F$2:$F$929,Détail!$E$2:$E$929,$B15,Détail!$D$2:$D$929,"Nicolas",Détail!$J$2:$J$929,2)</f>
        <v>30</v>
      </c>
      <c r="O15" s="54" t="n">
        <f aca="false">SUMIFS(Détail!$F$2:$F$929,Détail!$E$2:$E$929,$B15,Détail!$D$2:$D$929,"Aurélie",Détail!$J$2:$J$929,2)</f>
        <v>20</v>
      </c>
      <c r="P15" s="55" t="n">
        <f aca="false">IF(N15+O15-Z15&lt;=0,0,IF(F15=1,(N15+O15-Z15)/G15,ROUNDUP((N15+O15-Z15)/E15,0)))</f>
        <v>50</v>
      </c>
      <c r="Q15" s="56" t="n">
        <f aca="false">IF(H15="",0,IF(F15=1,P15/1000*H15,P15*H15))</f>
        <v>0.825</v>
      </c>
      <c r="R15" s="57" t="n">
        <f aca="false">J15+N15</f>
        <v>50</v>
      </c>
      <c r="S15" s="57" t="n">
        <f aca="false">K15+O15</f>
        <v>35</v>
      </c>
      <c r="T15" s="58" t="n">
        <f aca="false">R15*Y15</f>
        <v>0.825</v>
      </c>
      <c r="U15" s="58" t="n">
        <f aca="false">S15*Y15</f>
        <v>0.5775</v>
      </c>
      <c r="V15" s="57" t="n">
        <f aca="false">Z15+IF(F15=1,P15*G15,P15*E15)-(N15+O15)</f>
        <v>0</v>
      </c>
      <c r="W15" s="58" t="n">
        <f aca="false">V15*Y15</f>
        <v>0</v>
      </c>
      <c r="X15" s="45"/>
      <c r="Y15" s="59" t="n">
        <f aca="false">IF(H15="",0,IF(F15=1,H15/1000/G15,H15/E15))</f>
        <v>0.0165</v>
      </c>
      <c r="Z15" s="57" t="n">
        <f aca="false">I15+IF(F15=1,L15*G15,L15*E15)-(J15+K15)</f>
        <v>0</v>
      </c>
    </row>
    <row r="16" customFormat="false" ht="15" hidden="false" customHeight="false" outlineLevel="0" collapsed="false">
      <c r="A16" s="43" t="s">
        <v>180</v>
      </c>
      <c r="B16" s="27" t="s">
        <v>43</v>
      </c>
      <c r="C16" s="44" t="s">
        <v>15</v>
      </c>
      <c r="D16" s="45" t="s">
        <v>159</v>
      </c>
      <c r="E16" s="46" t="n">
        <v>1000</v>
      </c>
      <c r="F16" s="47" t="n">
        <v>0</v>
      </c>
      <c r="G16" s="48" t="n">
        <v>1</v>
      </c>
      <c r="H16" s="49" t="n">
        <v>2.34</v>
      </c>
      <c r="I16" s="50" t="n">
        <v>0</v>
      </c>
      <c r="J16" s="51" t="n">
        <f aca="false">SUMIFS(Détail!$F$2:$F$929,Détail!$E$2:$E$929,$B16,Détail!$D$2:$D$929,"Nicolas",Détail!$J$2:$J$929,1)</f>
        <v>135</v>
      </c>
      <c r="K16" s="51" t="n">
        <f aca="false">SUMIFS(Détail!$F$2:$F$929,Détail!$E$2:$E$929,$B16,Détail!$D$2:$D$929,"Aurélie",Détail!$J$2:$J$929,1)</f>
        <v>65</v>
      </c>
      <c r="L16" s="52" t="n">
        <f aca="false">IF(J16+K16-I16&lt;=0,0,IF(F16=1,(J16+K16-I16)/G16,ROUNDUP((J16+K16-I16)/E16,0)))</f>
        <v>1</v>
      </c>
      <c r="M16" s="53" t="n">
        <f aca="false">IF(H16="",0,IF(F16=1,L16/1000*H16,L16*H16))</f>
        <v>2.34</v>
      </c>
      <c r="N16" s="54" t="n">
        <f aca="false">SUMIFS(Détail!$F$2:$F$929,Détail!$E$2:$E$929,$B16,Détail!$D$2:$D$929,"Nicolas",Détail!$J$2:$J$929,2)</f>
        <v>525</v>
      </c>
      <c r="O16" s="54" t="n">
        <f aca="false">SUMIFS(Détail!$F$2:$F$929,Détail!$E$2:$E$929,$B16,Détail!$D$2:$D$929,"Aurélie",Détail!$J$2:$J$929,2)</f>
        <v>265</v>
      </c>
      <c r="P16" s="55" t="n">
        <f aca="false">IF(N16+O16-Z16&lt;=0,0,IF(F16=1,(N16+O16-Z16)/G16,ROUNDUP((N16+O16-Z16)/E16,0)))</f>
        <v>0</v>
      </c>
      <c r="Q16" s="56" t="n">
        <f aca="false">IF(H16="",0,IF(F16=1,P16/1000*H16,P16*H16))</f>
        <v>0</v>
      </c>
      <c r="R16" s="57" t="n">
        <f aca="false">J16+N16</f>
        <v>660</v>
      </c>
      <c r="S16" s="57" t="n">
        <f aca="false">K16+O16</f>
        <v>330</v>
      </c>
      <c r="T16" s="58" t="n">
        <f aca="false">R16*Y16</f>
        <v>1.5444</v>
      </c>
      <c r="U16" s="58" t="n">
        <f aca="false">S16*Y16</f>
        <v>0.7722</v>
      </c>
      <c r="V16" s="57" t="n">
        <f aca="false">Z16+IF(F16=1,P16*G16,P16*E16)-(N16+O16)</f>
        <v>10</v>
      </c>
      <c r="W16" s="58" t="n">
        <f aca="false">V16*Y16</f>
        <v>0.0234</v>
      </c>
      <c r="X16" s="45"/>
      <c r="Y16" s="59" t="n">
        <f aca="false">IF(H16="",0,IF(F16=1,H16/1000/G16,H16/E16))</f>
        <v>0.00234</v>
      </c>
      <c r="Z16" s="57" t="n">
        <f aca="false">I16+IF(F16=1,L16*G16,L16*E16)-(J16+K16)</f>
        <v>800</v>
      </c>
    </row>
    <row r="17" customFormat="false" ht="15" hidden="false" customHeight="false" outlineLevel="0" collapsed="false">
      <c r="A17" s="43" t="s">
        <v>180</v>
      </c>
      <c r="B17" s="27" t="s">
        <v>66</v>
      </c>
      <c r="C17" s="44" t="s">
        <v>15</v>
      </c>
      <c r="D17" s="45" t="s">
        <v>181</v>
      </c>
      <c r="E17" s="46" t="n">
        <v>500</v>
      </c>
      <c r="F17" s="47" t="n">
        <v>0</v>
      </c>
      <c r="G17" s="48" t="n">
        <v>1</v>
      </c>
      <c r="H17" s="49" t="n">
        <v>1.45</v>
      </c>
      <c r="I17" s="50" t="n">
        <v>0</v>
      </c>
      <c r="J17" s="51" t="n">
        <f aca="false">SUMIFS(Détail!$F$2:$F$929,Détail!$E$2:$E$929,$B17,Détail!$D$2:$D$929,"Nicolas",Détail!$J$2:$J$929,1)</f>
        <v>0</v>
      </c>
      <c r="K17" s="51" t="n">
        <f aca="false">SUMIFS(Détail!$F$2:$F$929,Détail!$E$2:$E$929,$B17,Détail!$D$2:$D$929,"Aurélie",Détail!$J$2:$J$929,1)</f>
        <v>0</v>
      </c>
      <c r="L17" s="52" t="n">
        <f aca="false">IF(J17+K17-I17&lt;=0,0,IF(F17=1,(J17+K17-I17)/G17,ROUNDUP((J17+K17-I17)/E17,0)))</f>
        <v>0</v>
      </c>
      <c r="M17" s="53" t="n">
        <f aca="false">IF(H17="",0,IF(F17=1,L17/1000*H17,L17*H17))</f>
        <v>0</v>
      </c>
      <c r="N17" s="54" t="n">
        <f aca="false">SUMIFS(Détail!$F$2:$F$929,Détail!$E$2:$E$929,$B17,Détail!$D$2:$D$929,"Nicolas",Détail!$J$2:$J$929,2)</f>
        <v>315</v>
      </c>
      <c r="O17" s="54" t="n">
        <f aca="false">SUMIFS(Détail!$F$2:$F$929,Détail!$E$2:$E$929,$B17,Détail!$D$2:$D$929,"Aurélie",Détail!$J$2:$J$929,2)</f>
        <v>180</v>
      </c>
      <c r="P17" s="55" t="n">
        <f aca="false">IF(N17+O17-Z17&lt;=0,0,IF(F17=1,(N17+O17-Z17)/G17,ROUNDUP((N17+O17-Z17)/E17,0)))</f>
        <v>1</v>
      </c>
      <c r="Q17" s="56" t="n">
        <f aca="false">IF(H17="",0,IF(F17=1,P17/1000*H17,P17*H17))</f>
        <v>1.45</v>
      </c>
      <c r="R17" s="57" t="n">
        <f aca="false">J17+N17</f>
        <v>315</v>
      </c>
      <c r="S17" s="57" t="n">
        <f aca="false">K17+O17</f>
        <v>180</v>
      </c>
      <c r="T17" s="58" t="n">
        <f aca="false">R17*Y17</f>
        <v>0.9135</v>
      </c>
      <c r="U17" s="58" t="n">
        <f aca="false">S17*Y17</f>
        <v>0.522</v>
      </c>
      <c r="V17" s="57" t="n">
        <f aca="false">Z17+IF(F17=1,P17*G17,P17*E17)-(N17+O17)</f>
        <v>5</v>
      </c>
      <c r="W17" s="58" t="n">
        <f aca="false">V17*Y17</f>
        <v>0.0145</v>
      </c>
      <c r="X17" s="45"/>
      <c r="Y17" s="59" t="n">
        <f aca="false">IF(H17="",0,IF(F17=1,H17/1000/G17,H17/E17))</f>
        <v>0.0029</v>
      </c>
      <c r="Z17" s="57" t="n">
        <f aca="false">I17+IF(F17=1,L17*G17,L17*E17)-(J17+K17)</f>
        <v>0</v>
      </c>
    </row>
    <row r="18" customFormat="false" ht="15" hidden="false" customHeight="false" outlineLevel="0" collapsed="false">
      <c r="A18" s="43" t="s">
        <v>180</v>
      </c>
      <c r="B18" s="27" t="s">
        <v>84</v>
      </c>
      <c r="C18" s="44" t="s">
        <v>15</v>
      </c>
      <c r="D18" s="45" t="s">
        <v>181</v>
      </c>
      <c r="E18" s="46" t="n">
        <v>500</v>
      </c>
      <c r="F18" s="47" t="n">
        <v>0</v>
      </c>
      <c r="G18" s="48" t="n">
        <v>1</v>
      </c>
      <c r="H18" s="49" t="n">
        <v>2.47</v>
      </c>
      <c r="I18" s="50" t="n">
        <v>0</v>
      </c>
      <c r="J18" s="51" t="n">
        <f aca="false">SUMIFS(Détail!$F$2:$F$929,Détail!$E$2:$E$929,$B18,Détail!$D$2:$D$929,"Nicolas",Détail!$J$2:$J$929,1)</f>
        <v>0</v>
      </c>
      <c r="K18" s="51" t="n">
        <f aca="false">SUMIFS(Détail!$F$2:$F$929,Détail!$E$2:$E$929,$B18,Détail!$D$2:$D$929,"Aurélie",Détail!$J$2:$J$929,1)</f>
        <v>0</v>
      </c>
      <c r="L18" s="52" t="n">
        <f aca="false">IF(J18+K18-I18&lt;=0,0,IF(F18=1,(J18+K18-I18)/G18,ROUNDUP((J18+K18-I18)/E18,0)))</f>
        <v>0</v>
      </c>
      <c r="M18" s="53" t="n">
        <f aca="false">IF(H18="",0,IF(F18=1,L18/1000*H18,L18*H18))</f>
        <v>0</v>
      </c>
      <c r="N18" s="54" t="n">
        <f aca="false">SUMIFS(Détail!$F$2:$F$929,Détail!$E$2:$E$929,$B18,Détail!$D$2:$D$929,"Nicolas",Détail!$J$2:$J$929,2)</f>
        <v>130</v>
      </c>
      <c r="O18" s="54" t="n">
        <f aca="false">SUMIFS(Détail!$F$2:$F$929,Détail!$E$2:$E$929,$B18,Détail!$D$2:$D$929,"Aurélie",Détail!$J$2:$J$929,2)</f>
        <v>90</v>
      </c>
      <c r="P18" s="55" t="n">
        <f aca="false">IF(N18+O18-Z18&lt;=0,0,IF(F18=1,(N18+O18-Z18)/G18,ROUNDUP((N18+O18-Z18)/E18,0)))</f>
        <v>1</v>
      </c>
      <c r="Q18" s="56" t="n">
        <f aca="false">IF(H18="",0,IF(F18=1,P18/1000*H18,P18*H18))</f>
        <v>2.47</v>
      </c>
      <c r="R18" s="57" t="n">
        <f aca="false">J18+N18</f>
        <v>130</v>
      </c>
      <c r="S18" s="57" t="n">
        <f aca="false">K18+O18</f>
        <v>90</v>
      </c>
      <c r="T18" s="58" t="n">
        <f aca="false">R18*Y18</f>
        <v>0.6422</v>
      </c>
      <c r="U18" s="58" t="n">
        <f aca="false">S18*Y18</f>
        <v>0.4446</v>
      </c>
      <c r="V18" s="57" t="n">
        <f aca="false">Z18+IF(F18=1,P18*G18,P18*E18)-(N18+O18)</f>
        <v>280</v>
      </c>
      <c r="W18" s="58" t="n">
        <f aca="false">V18*Y18</f>
        <v>1.3832</v>
      </c>
      <c r="X18" s="45"/>
      <c r="Y18" s="59" t="n">
        <f aca="false">IF(H18="",0,IF(F18=1,H18/1000/G18,H18/E18))</f>
        <v>0.00494</v>
      </c>
      <c r="Z18" s="57" t="n">
        <f aca="false">I18+IF(F18=1,L18*G18,L18*E18)-(J18+K18)</f>
        <v>0</v>
      </c>
    </row>
    <row r="19" customFormat="false" ht="15" hidden="false" customHeight="false" outlineLevel="0" collapsed="false">
      <c r="A19" s="43" t="s">
        <v>180</v>
      </c>
      <c r="B19" s="27" t="s">
        <v>16</v>
      </c>
      <c r="C19" s="44" t="s">
        <v>15</v>
      </c>
      <c r="D19" s="45" t="s">
        <v>181</v>
      </c>
      <c r="E19" s="46" t="n">
        <v>500</v>
      </c>
      <c r="F19" s="47" t="n">
        <v>0</v>
      </c>
      <c r="G19" s="48" t="n">
        <v>1</v>
      </c>
      <c r="H19" s="49" t="n">
        <v>1.71</v>
      </c>
      <c r="I19" s="50" t="n">
        <v>0</v>
      </c>
      <c r="J19" s="51" t="n">
        <f aca="false">SUMIFS(Détail!$F$2:$F$929,Détail!$E$2:$E$929,$B19,Détail!$D$2:$D$929,"Nicolas",Détail!$J$2:$J$929,1)</f>
        <v>325</v>
      </c>
      <c r="K19" s="51" t="n">
        <f aca="false">SUMIFS(Détail!$F$2:$F$929,Détail!$E$2:$E$929,$B19,Détail!$D$2:$D$929,"Aurélie",Détail!$J$2:$J$929,1)</f>
        <v>0</v>
      </c>
      <c r="L19" s="52" t="n">
        <f aca="false">IF(J19+K19-I19&lt;=0,0,IF(F19=1,(J19+K19-I19)/G19,ROUNDUP((J19+K19-I19)/E19,0)))</f>
        <v>1</v>
      </c>
      <c r="M19" s="53" t="n">
        <f aca="false">IF(H19="",0,IF(F19=1,L19/1000*H19,L19*H19))</f>
        <v>1.71</v>
      </c>
      <c r="N19" s="54" t="n">
        <f aca="false">SUMIFS(Détail!$F$2:$F$929,Détail!$E$2:$E$929,$B19,Détail!$D$2:$D$929,"Nicolas",Détail!$J$2:$J$929,2)</f>
        <v>1040</v>
      </c>
      <c r="O19" s="54" t="n">
        <f aca="false">SUMIFS(Détail!$F$2:$F$929,Détail!$E$2:$E$929,$B19,Détail!$D$2:$D$929,"Aurélie",Détail!$J$2:$J$929,2)</f>
        <v>0</v>
      </c>
      <c r="P19" s="55" t="n">
        <f aca="false">IF(N19+O19-Z19&lt;=0,0,IF(F19=1,(N19+O19-Z19)/G19,ROUNDUP((N19+O19-Z19)/E19,0)))</f>
        <v>2</v>
      </c>
      <c r="Q19" s="56" t="n">
        <f aca="false">IF(H19="",0,IF(F19=1,P19/1000*H19,P19*H19))</f>
        <v>3.42</v>
      </c>
      <c r="R19" s="57" t="n">
        <f aca="false">J19+N19</f>
        <v>1365</v>
      </c>
      <c r="S19" s="57" t="n">
        <f aca="false">K19+O19</f>
        <v>0</v>
      </c>
      <c r="T19" s="58" t="n">
        <f aca="false">R19*Y19</f>
        <v>4.6683</v>
      </c>
      <c r="U19" s="58" t="n">
        <f aca="false">S19*Y19</f>
        <v>0</v>
      </c>
      <c r="V19" s="57" t="n">
        <f aca="false">Z19+IF(F19=1,P19*G19,P19*E19)-(N19+O19)</f>
        <v>135</v>
      </c>
      <c r="W19" s="58" t="n">
        <f aca="false">V19*Y19</f>
        <v>0.4617</v>
      </c>
      <c r="X19" s="45"/>
      <c r="Y19" s="59" t="n">
        <f aca="false">IF(H19="",0,IF(F19=1,H19/1000/G19,H19/E19))</f>
        <v>0.00342</v>
      </c>
      <c r="Z19" s="57" t="n">
        <f aca="false">I19+IF(F19=1,L19*G19,L19*E19)-(J19+K19)</f>
        <v>175</v>
      </c>
    </row>
    <row r="20" customFormat="false" ht="23.85" hidden="false" customHeight="false" outlineLevel="0" collapsed="false">
      <c r="A20" s="43" t="s">
        <v>180</v>
      </c>
      <c r="B20" s="27" t="s">
        <v>26</v>
      </c>
      <c r="C20" s="44" t="s">
        <v>15</v>
      </c>
      <c r="D20" s="45" t="s">
        <v>179</v>
      </c>
      <c r="E20" s="46" t="n">
        <v>1</v>
      </c>
      <c r="F20" s="47" t="n">
        <v>1</v>
      </c>
      <c r="G20" s="48" t="n">
        <v>1</v>
      </c>
      <c r="H20" s="49" t="n">
        <v>1.45</v>
      </c>
      <c r="I20" s="50" t="n">
        <v>0</v>
      </c>
      <c r="J20" s="51" t="n">
        <f aca="false">SUMIFS(Détail!$F$2:$F$929,Détail!$E$2:$E$929,$B20,Détail!$D$2:$D$929,"Nicolas",Détail!$J$2:$J$929,1)</f>
        <v>1440</v>
      </c>
      <c r="K20" s="51" t="n">
        <f aca="false">SUMIFS(Détail!$F$2:$F$929,Détail!$E$2:$E$929,$B20,Détail!$D$2:$D$929,"Aurélie",Détail!$J$2:$J$929,1)</f>
        <v>600</v>
      </c>
      <c r="L20" s="52" t="n">
        <f aca="false">IF(J20+K20-I20&lt;=0,0,IF(F20=1,(J20+K20-I20)/G20,ROUNDUP((J20+K20-I20)/E20,0)))</f>
        <v>2040</v>
      </c>
      <c r="M20" s="53" t="n">
        <f aca="false">IF(H20="",0,IF(F20=1,L20/1000*H20,L20*H20))</f>
        <v>2.958</v>
      </c>
      <c r="N20" s="54" t="n">
        <f aca="false">SUMIFS(Détail!$F$2:$F$929,Détail!$E$2:$E$929,$B20,Détail!$D$2:$D$929,"Nicolas",Détail!$J$2:$J$929,2)</f>
        <v>3300</v>
      </c>
      <c r="O20" s="54" t="n">
        <f aca="false">SUMIFS(Détail!$F$2:$F$929,Détail!$E$2:$E$929,$B20,Détail!$D$2:$D$929,"Aurélie",Détail!$J$2:$J$929,2)</f>
        <v>1450</v>
      </c>
      <c r="P20" s="55" t="n">
        <f aca="false">IF(N20+O20-Z20&lt;=0,0,IF(F20=1,(N20+O20-Z20)/G20,ROUNDUP((N20+O20-Z20)/E20,0)))</f>
        <v>4750</v>
      </c>
      <c r="Q20" s="56" t="n">
        <f aca="false">IF(H20="",0,IF(F20=1,P20/1000*H20,P20*H20))</f>
        <v>6.8875</v>
      </c>
      <c r="R20" s="57" t="n">
        <f aca="false">J20+N20</f>
        <v>4740</v>
      </c>
      <c r="S20" s="57" t="n">
        <f aca="false">K20+O20</f>
        <v>2050</v>
      </c>
      <c r="T20" s="58" t="n">
        <f aca="false">R20*Y20</f>
        <v>6.873</v>
      </c>
      <c r="U20" s="58" t="n">
        <f aca="false">S20*Y20</f>
        <v>2.9725</v>
      </c>
      <c r="V20" s="57" t="n">
        <f aca="false">Z20+IF(F20=1,P20*G20,P20*E20)-(N20+O20)</f>
        <v>0</v>
      </c>
      <c r="W20" s="58" t="n">
        <f aca="false">V20*Y20</f>
        <v>0</v>
      </c>
      <c r="X20" s="45" t="s">
        <v>182</v>
      </c>
      <c r="Y20" s="59" t="n">
        <f aca="false">IF(H20="",0,IF(F20=1,H20/1000/G20,H20/E20))</f>
        <v>0.00145</v>
      </c>
      <c r="Z20" s="57" t="n">
        <f aca="false">I20+IF(F20=1,L20*G20,L20*E20)-(J20+K20)</f>
        <v>0</v>
      </c>
    </row>
    <row r="21" customFormat="false" ht="15" hidden="false" customHeight="false" outlineLevel="0" collapsed="false">
      <c r="A21" s="43" t="s">
        <v>180</v>
      </c>
      <c r="B21" s="27" t="s">
        <v>32</v>
      </c>
      <c r="C21" s="44" t="s">
        <v>15</v>
      </c>
      <c r="D21" s="45" t="s">
        <v>179</v>
      </c>
      <c r="E21" s="46" t="n">
        <v>1</v>
      </c>
      <c r="F21" s="47" t="n">
        <v>1</v>
      </c>
      <c r="G21" s="48" t="n">
        <v>1</v>
      </c>
      <c r="H21" s="49" t="n">
        <v>3.29</v>
      </c>
      <c r="I21" s="50" t="n">
        <v>0</v>
      </c>
      <c r="J21" s="51" t="n">
        <f aca="false">SUMIFS(Détail!$F$2:$F$929,Détail!$E$2:$E$929,$B21,Détail!$D$2:$D$929,"Nicolas",Détail!$J$2:$J$929,1)</f>
        <v>600</v>
      </c>
      <c r="K21" s="51" t="n">
        <f aca="false">SUMIFS(Détail!$F$2:$F$929,Détail!$E$2:$E$929,$B21,Détail!$D$2:$D$929,"Aurélie",Détail!$J$2:$J$929,1)</f>
        <v>280</v>
      </c>
      <c r="L21" s="52" t="n">
        <f aca="false">IF(J21+K21-I21&lt;=0,0,IF(F21=1,(J21+K21-I21)/G21,ROUNDUP((J21+K21-I21)/E21,0)))</f>
        <v>880</v>
      </c>
      <c r="M21" s="53" t="n">
        <f aca="false">IF(H21="",0,IF(F21=1,L21/1000*H21,L21*H21))</f>
        <v>2.8952</v>
      </c>
      <c r="N21" s="54" t="n">
        <f aca="false">SUMIFS(Détail!$F$2:$F$929,Détail!$E$2:$E$929,$B21,Détail!$D$2:$D$929,"Nicolas",Détail!$J$2:$J$929,2)</f>
        <v>1200</v>
      </c>
      <c r="O21" s="54" t="n">
        <f aca="false">SUMIFS(Détail!$F$2:$F$929,Détail!$E$2:$E$929,$B21,Détail!$D$2:$D$929,"Aurélie",Détail!$J$2:$J$929,2)</f>
        <v>560</v>
      </c>
      <c r="P21" s="55" t="n">
        <f aca="false">IF(N21+O21-Z21&lt;=0,0,IF(F21=1,(N21+O21-Z21)/G21,ROUNDUP((N21+O21-Z21)/E21,0)))</f>
        <v>1760</v>
      </c>
      <c r="Q21" s="56" t="n">
        <f aca="false">IF(H21="",0,IF(F21=1,P21/1000*H21,P21*H21))</f>
        <v>5.7904</v>
      </c>
      <c r="R21" s="57" t="n">
        <f aca="false">J21+N21</f>
        <v>1800</v>
      </c>
      <c r="S21" s="57" t="n">
        <f aca="false">K21+O21</f>
        <v>840</v>
      </c>
      <c r="T21" s="58" t="n">
        <f aca="false">R21*Y21</f>
        <v>5.922</v>
      </c>
      <c r="U21" s="58" t="n">
        <f aca="false">S21*Y21</f>
        <v>2.7636</v>
      </c>
      <c r="V21" s="57" t="n">
        <f aca="false">Z21+IF(F21=1,P21*G21,P21*E21)-(N21+O21)</f>
        <v>0</v>
      </c>
      <c r="W21" s="58" t="n">
        <f aca="false">V21*Y21</f>
        <v>0</v>
      </c>
      <c r="X21" s="45" t="s">
        <v>183</v>
      </c>
      <c r="Y21" s="59" t="n">
        <f aca="false">IF(H21="",0,IF(F21=1,H21/1000/G21,H21/E21))</f>
        <v>0.00329</v>
      </c>
      <c r="Z21" s="57" t="n">
        <f aca="false">I21+IF(F21=1,L21*G21,L21*E21)-(J21+K21)</f>
        <v>0</v>
      </c>
    </row>
    <row r="22" customFormat="false" ht="15" hidden="false" customHeight="false" outlineLevel="0" collapsed="false">
      <c r="A22" s="43" t="s">
        <v>180</v>
      </c>
      <c r="B22" s="27" t="s">
        <v>95</v>
      </c>
      <c r="C22" s="44" t="s">
        <v>171</v>
      </c>
      <c r="D22" s="45" t="s">
        <v>184</v>
      </c>
      <c r="E22" s="46" t="n">
        <v>8</v>
      </c>
      <c r="F22" s="47" t="n">
        <v>0</v>
      </c>
      <c r="G22" s="48" t="n">
        <v>1</v>
      </c>
      <c r="H22" s="49" t="n">
        <v>2.74</v>
      </c>
      <c r="I22" s="50" t="n">
        <v>0</v>
      </c>
      <c r="J22" s="51" t="n">
        <f aca="false">SUMIFS(Détail!$F$2:$F$929,Détail!$E$2:$E$929,$B22,Détail!$D$2:$D$929,"Nicolas",Détail!$J$2:$J$929,1)</f>
        <v>0</v>
      </c>
      <c r="K22" s="51" t="n">
        <f aca="false">SUMIFS(Détail!$F$2:$F$929,Détail!$E$2:$E$929,$B22,Détail!$D$2:$D$929,"Aurélie",Détail!$J$2:$J$929,1)</f>
        <v>0</v>
      </c>
      <c r="L22" s="52" t="n">
        <f aca="false">IF(J22+K22-I22&lt;=0,0,IF(F22=1,(J22+K22-I22)/G22,ROUNDUP((J22+K22-I22)/E22,0)))</f>
        <v>0</v>
      </c>
      <c r="M22" s="53" t="n">
        <f aca="false">IF(H22="",0,IF(F22=1,L22/1000*H22,L22*H22))</f>
        <v>0</v>
      </c>
      <c r="N22" s="54" t="n">
        <f aca="false">SUMIFS(Détail!$F$2:$F$929,Détail!$E$2:$E$929,$B22,Détail!$D$2:$D$929,"Nicolas",Détail!$J$2:$J$929,2)</f>
        <v>4</v>
      </c>
      <c r="O22" s="54" t="n">
        <f aca="false">SUMIFS(Détail!$F$2:$F$929,Détail!$E$2:$E$929,$B22,Détail!$D$2:$D$929,"Aurélie",Détail!$J$2:$J$929,2)</f>
        <v>2</v>
      </c>
      <c r="P22" s="55" t="n">
        <f aca="false">IF(N22+O22-Z22&lt;=0,0,IF(F22=1,(N22+O22-Z22)/G22,ROUNDUP((N22+O22-Z22)/E22,0)))</f>
        <v>1</v>
      </c>
      <c r="Q22" s="56" t="n">
        <f aca="false">IF(H22="",0,IF(F22=1,P22/1000*H22,P22*H22))</f>
        <v>2.74</v>
      </c>
      <c r="R22" s="57" t="n">
        <f aca="false">J22+N22</f>
        <v>4</v>
      </c>
      <c r="S22" s="57" t="n">
        <f aca="false">K22+O22</f>
        <v>2</v>
      </c>
      <c r="T22" s="58" t="n">
        <f aca="false">R22*Y22</f>
        <v>1.37</v>
      </c>
      <c r="U22" s="58" t="n">
        <f aca="false">S22*Y22</f>
        <v>0.685</v>
      </c>
      <c r="V22" s="57" t="n">
        <f aca="false">Z22+IF(F22=1,P22*G22,P22*E22)-(N22+O22)</f>
        <v>2</v>
      </c>
      <c r="W22" s="58" t="n">
        <f aca="false">V22*Y22</f>
        <v>0.685</v>
      </c>
      <c r="X22" s="45" t="s">
        <v>185</v>
      </c>
      <c r="Y22" s="59" t="n">
        <f aca="false">IF(H22="",0,IF(F22=1,H22/1000/G22,H22/E22))</f>
        <v>0.3425</v>
      </c>
      <c r="Z22" s="57" t="n">
        <f aca="false">I22+IF(F22=1,L22*G22,L22*E22)-(J22+K22)</f>
        <v>0</v>
      </c>
    </row>
    <row r="23" customFormat="false" ht="15" hidden="false" customHeight="false" outlineLevel="0" collapsed="false">
      <c r="A23" s="43" t="s">
        <v>186</v>
      </c>
      <c r="B23" s="27" t="s">
        <v>54</v>
      </c>
      <c r="C23" s="44" t="s">
        <v>171</v>
      </c>
      <c r="D23" s="45" t="s">
        <v>187</v>
      </c>
      <c r="E23" s="46" t="n">
        <v>2</v>
      </c>
      <c r="F23" s="47" t="n">
        <v>0</v>
      </c>
      <c r="G23" s="48" t="n">
        <v>1</v>
      </c>
      <c r="H23" s="49" t="n">
        <v>3</v>
      </c>
      <c r="I23" s="50" t="n">
        <v>0</v>
      </c>
      <c r="J23" s="51" t="n">
        <f aca="false">SUMIFS(Détail!$F$2:$F$929,Détail!$E$2:$E$929,$B23,Détail!$D$2:$D$929,"Nicolas",Détail!$J$2:$J$929,1)</f>
        <v>1</v>
      </c>
      <c r="K23" s="51" t="n">
        <f aca="false">SUMIFS(Détail!$F$2:$F$929,Détail!$E$2:$E$929,$B23,Détail!$D$2:$D$929,"Aurélie",Détail!$J$2:$J$929,1)</f>
        <v>1</v>
      </c>
      <c r="L23" s="52" t="n">
        <f aca="false">IF(J23+K23-I23&lt;=0,0,IF(F23=1,(J23+K23-I23)/G23,ROUNDUP((J23+K23-I23)/E23,0)))</f>
        <v>1</v>
      </c>
      <c r="M23" s="53" t="n">
        <f aca="false">IF(H23="",0,IF(F23=1,L23/1000*H23,L23*H23))</f>
        <v>3</v>
      </c>
      <c r="N23" s="54" t="n">
        <f aca="false">SUMIFS(Détail!$F$2:$F$929,Détail!$E$2:$E$929,$B23,Détail!$D$2:$D$929,"Nicolas",Détail!$J$2:$J$929,2)</f>
        <v>0</v>
      </c>
      <c r="O23" s="54" t="n">
        <f aca="false">SUMIFS(Détail!$F$2:$F$929,Détail!$E$2:$E$929,$B23,Détail!$D$2:$D$929,"Aurélie",Détail!$J$2:$J$929,2)</f>
        <v>0</v>
      </c>
      <c r="P23" s="55" t="n">
        <f aca="false">IF(N23+O23-Z23&lt;=0,0,IF(F23=1,(N23+O23-Z23)/G23,ROUNDUP((N23+O23-Z23)/E23,0)))</f>
        <v>0</v>
      </c>
      <c r="Q23" s="56" t="n">
        <f aca="false">IF(H23="",0,IF(F23=1,P23/1000*H23,P23*H23))</f>
        <v>0</v>
      </c>
      <c r="R23" s="57" t="n">
        <f aca="false">J23+N23</f>
        <v>1</v>
      </c>
      <c r="S23" s="57" t="n">
        <f aca="false">K23+O23</f>
        <v>1</v>
      </c>
      <c r="T23" s="58" t="n">
        <f aca="false">R23*Y23</f>
        <v>1.5</v>
      </c>
      <c r="U23" s="58" t="n">
        <f aca="false">S23*Y23</f>
        <v>1.5</v>
      </c>
      <c r="V23" s="57" t="n">
        <f aca="false">Z23+IF(F23=1,P23*G23,P23*E23)-(N23+O23)</f>
        <v>0</v>
      </c>
      <c r="W23" s="58" t="n">
        <f aca="false">V23*Y23</f>
        <v>0</v>
      </c>
      <c r="X23" s="45" t="s">
        <v>188</v>
      </c>
      <c r="Y23" s="59" t="n">
        <f aca="false">IF(H23="",0,IF(F23=1,H23/1000/G23,H23/E23))</f>
        <v>1.5</v>
      </c>
      <c r="Z23" s="57" t="n">
        <f aca="false">I23+IF(F23=1,L23*G23,L23*E23)-(J23+K23)</f>
        <v>0</v>
      </c>
    </row>
    <row r="24" customFormat="false" ht="23.85" hidden="false" customHeight="false" outlineLevel="0" collapsed="false">
      <c r="A24" s="43" t="s">
        <v>186</v>
      </c>
      <c r="B24" s="27" t="s">
        <v>21</v>
      </c>
      <c r="C24" s="44" t="s">
        <v>15</v>
      </c>
      <c r="D24" s="45" t="s">
        <v>189</v>
      </c>
      <c r="E24" s="46" t="n">
        <v>100</v>
      </c>
      <c r="F24" s="47" t="n">
        <v>0</v>
      </c>
      <c r="G24" s="48" t="n">
        <v>1</v>
      </c>
      <c r="H24" s="49" t="n">
        <v>1.2</v>
      </c>
      <c r="I24" s="50" t="n">
        <v>0</v>
      </c>
      <c r="J24" s="51" t="n">
        <f aca="false">SUMIFS(Détail!$F$2:$F$929,Détail!$E$2:$E$929,$B24,Détail!$D$2:$D$929,"Nicolas",Détail!$J$2:$J$929,1)</f>
        <v>0</v>
      </c>
      <c r="K24" s="51" t="n">
        <f aca="false">SUMIFS(Détail!$F$2:$F$929,Détail!$E$2:$E$929,$B24,Détail!$D$2:$D$929,"Aurélie",Détail!$J$2:$J$929,1)</f>
        <v>200</v>
      </c>
      <c r="L24" s="52" t="n">
        <f aca="false">IF(J24+K24-I24&lt;=0,0,IF(F24=1,(J24+K24-I24)/G24,ROUNDUP((J24+K24-I24)/E24,0)))</f>
        <v>2</v>
      </c>
      <c r="M24" s="53" t="n">
        <f aca="false">IF(H24="",0,IF(F24=1,L24/1000*H24,L24*H24))</f>
        <v>2.4</v>
      </c>
      <c r="N24" s="54" t="n">
        <f aca="false">SUMIFS(Détail!$F$2:$F$929,Détail!$E$2:$E$929,$B24,Détail!$D$2:$D$929,"Nicolas",Détail!$J$2:$J$929,2)</f>
        <v>0</v>
      </c>
      <c r="O24" s="54" t="n">
        <f aca="false">SUMIFS(Détail!$F$2:$F$929,Détail!$E$2:$E$929,$B24,Détail!$D$2:$D$929,"Aurélie",Détail!$J$2:$J$929,2)</f>
        <v>640</v>
      </c>
      <c r="P24" s="55" t="n">
        <f aca="false">IF(N24+O24-Z24&lt;=0,0,IF(F24=1,(N24+O24-Z24)/G24,ROUNDUP((N24+O24-Z24)/E24,0)))</f>
        <v>7</v>
      </c>
      <c r="Q24" s="56" t="n">
        <f aca="false">IF(H24="",0,IF(F24=1,P24/1000*H24,P24*H24))</f>
        <v>8.4</v>
      </c>
      <c r="R24" s="57" t="n">
        <f aca="false">J24+N24</f>
        <v>0</v>
      </c>
      <c r="S24" s="57" t="n">
        <f aca="false">K24+O24</f>
        <v>840</v>
      </c>
      <c r="T24" s="58" t="n">
        <f aca="false">R24*Y24</f>
        <v>0</v>
      </c>
      <c r="U24" s="58" t="n">
        <f aca="false">S24*Y24</f>
        <v>10.08</v>
      </c>
      <c r="V24" s="57" t="n">
        <f aca="false">Z24+IF(F24=1,P24*G24,P24*E24)-(N24+O24)</f>
        <v>60</v>
      </c>
      <c r="W24" s="58" t="n">
        <f aca="false">V24*Y24</f>
        <v>0.72</v>
      </c>
      <c r="X24" s="45" t="s">
        <v>190</v>
      </c>
      <c r="Y24" s="59" t="n">
        <f aca="false">IF(H24="",0,IF(F24=1,H24/1000/G24,H24/E24))</f>
        <v>0.012</v>
      </c>
      <c r="Z24" s="57" t="n">
        <f aca="false">I24+IF(F24=1,L24*G24,L24*E24)-(J24+K24)</f>
        <v>0</v>
      </c>
    </row>
    <row r="25" customFormat="false" ht="15" hidden="false" customHeight="false" outlineLevel="0" collapsed="false">
      <c r="A25" s="43" t="s">
        <v>191</v>
      </c>
      <c r="B25" s="27" t="s">
        <v>27</v>
      </c>
      <c r="C25" s="44" t="s">
        <v>15</v>
      </c>
      <c r="D25" s="45" t="s">
        <v>192</v>
      </c>
      <c r="E25" s="46" t="n">
        <v>440</v>
      </c>
      <c r="F25" s="47" t="n">
        <v>0</v>
      </c>
      <c r="G25" s="48" t="n">
        <v>1</v>
      </c>
      <c r="H25" s="49" t="n">
        <v>1.72</v>
      </c>
      <c r="I25" s="50" t="n">
        <v>0</v>
      </c>
      <c r="J25" s="51" t="n">
        <f aca="false">SUMIFS(Détail!$F$2:$F$929,Détail!$E$2:$E$929,$B25,Détail!$D$2:$D$929,"Nicolas",Détail!$J$2:$J$929,1)</f>
        <v>500</v>
      </c>
      <c r="K25" s="51" t="n">
        <f aca="false">SUMIFS(Détail!$F$2:$F$929,Détail!$E$2:$E$929,$B25,Détail!$D$2:$D$929,"Aurélie",Détail!$J$2:$J$929,1)</f>
        <v>560</v>
      </c>
      <c r="L25" s="52" t="n">
        <f aca="false">IF(J25+K25-I25&lt;=0,0,IF(F25=1,(J25+K25-I25)/G25,ROUNDUP((J25+K25-I25)/E25,0)))</f>
        <v>3</v>
      </c>
      <c r="M25" s="53" t="n">
        <f aca="false">IF(H25="",0,IF(F25=1,L25/1000*H25,L25*H25))</f>
        <v>5.16</v>
      </c>
      <c r="N25" s="54" t="n">
        <f aca="false">SUMIFS(Détail!$F$2:$F$929,Détail!$E$2:$E$929,$B25,Détail!$D$2:$D$929,"Nicolas",Détail!$J$2:$J$929,2)</f>
        <v>1300</v>
      </c>
      <c r="O25" s="54" t="n">
        <f aca="false">SUMIFS(Détail!$F$2:$F$929,Détail!$E$2:$E$929,$B25,Détail!$D$2:$D$929,"Aurélie",Détail!$J$2:$J$929,2)</f>
        <v>1520</v>
      </c>
      <c r="P25" s="55" t="n">
        <f aca="false">IF(N25+O25-Z25&lt;=0,0,IF(F25=1,(N25+O25-Z25)/G25,ROUNDUP((N25+O25-Z25)/E25,0)))</f>
        <v>6</v>
      </c>
      <c r="Q25" s="56" t="n">
        <f aca="false">IF(H25="",0,IF(F25=1,P25/1000*H25,P25*H25))</f>
        <v>10.32</v>
      </c>
      <c r="R25" s="57" t="n">
        <f aca="false">J25+N25</f>
        <v>1800</v>
      </c>
      <c r="S25" s="57" t="n">
        <f aca="false">K25+O25</f>
        <v>2080</v>
      </c>
      <c r="T25" s="58" t="n">
        <f aca="false">R25*Y25</f>
        <v>7.03636363636364</v>
      </c>
      <c r="U25" s="58" t="n">
        <f aca="false">S25*Y25</f>
        <v>8.13090909090909</v>
      </c>
      <c r="V25" s="57" t="n">
        <f aca="false">Z25+IF(F25=1,P25*G25,P25*E25)-(N25+O25)</f>
        <v>80</v>
      </c>
      <c r="W25" s="58" t="n">
        <f aca="false">V25*Y25</f>
        <v>0.312727272727273</v>
      </c>
      <c r="X25" s="45" t="s">
        <v>193</v>
      </c>
      <c r="Y25" s="59" t="n">
        <f aca="false">IF(H25="",0,IF(F25=1,H25/1000/G25,H25/E25))</f>
        <v>0.00390909090909091</v>
      </c>
      <c r="Z25" s="57" t="n">
        <f aca="false">I25+IF(F25=1,L25*G25,L25*E25)-(J25+K25)</f>
        <v>260</v>
      </c>
    </row>
    <row r="26" customFormat="false" ht="15" hidden="false" customHeight="false" outlineLevel="0" collapsed="false">
      <c r="A26" s="43" t="s">
        <v>191</v>
      </c>
      <c r="B26" s="27" t="s">
        <v>44</v>
      </c>
      <c r="C26" s="44" t="s">
        <v>15</v>
      </c>
      <c r="D26" s="45" t="s">
        <v>179</v>
      </c>
      <c r="E26" s="46" t="n">
        <v>1</v>
      </c>
      <c r="F26" s="47" t="n">
        <v>1</v>
      </c>
      <c r="G26" s="48" t="n">
        <v>1</v>
      </c>
      <c r="H26" s="49" t="n">
        <v>1.99</v>
      </c>
      <c r="I26" s="50" t="n">
        <v>0</v>
      </c>
      <c r="J26" s="51" t="n">
        <f aca="false">SUMIFS(Détail!$F$2:$F$929,Détail!$E$2:$E$929,$B26,Détail!$D$2:$D$929,"Nicolas",Détail!$J$2:$J$929,1)</f>
        <v>260</v>
      </c>
      <c r="K26" s="51" t="n">
        <f aca="false">SUMIFS(Détail!$F$2:$F$929,Détail!$E$2:$E$929,$B26,Détail!$D$2:$D$929,"Aurélie",Détail!$J$2:$J$929,1)</f>
        <v>320</v>
      </c>
      <c r="L26" s="52" t="n">
        <f aca="false">IF(J26+K26-I26&lt;=0,0,IF(F26=1,(J26+K26-I26)/G26,ROUNDUP((J26+K26-I26)/E26,0)))</f>
        <v>580</v>
      </c>
      <c r="M26" s="53" t="n">
        <f aca="false">IF(H26="",0,IF(F26=1,L26/1000*H26,L26*H26))</f>
        <v>1.1542</v>
      </c>
      <c r="N26" s="54" t="n">
        <f aca="false">SUMIFS(Détail!$F$2:$F$929,Détail!$E$2:$E$929,$B26,Détail!$D$2:$D$929,"Nicolas",Détail!$J$2:$J$929,2)</f>
        <v>480</v>
      </c>
      <c r="O26" s="54" t="n">
        <f aca="false">SUMIFS(Détail!$F$2:$F$929,Détail!$E$2:$E$929,$B26,Détail!$D$2:$D$929,"Aurélie",Détail!$J$2:$J$929,2)</f>
        <v>610</v>
      </c>
      <c r="P26" s="55" t="n">
        <f aca="false">IF(N26+O26-Z26&lt;=0,0,IF(F26=1,(N26+O26-Z26)/G26,ROUNDUP((N26+O26-Z26)/E26,0)))</f>
        <v>1090</v>
      </c>
      <c r="Q26" s="56" t="n">
        <f aca="false">IF(H26="",0,IF(F26=1,P26/1000*H26,P26*H26))</f>
        <v>2.1691</v>
      </c>
      <c r="R26" s="57" t="n">
        <f aca="false">J26+N26</f>
        <v>740</v>
      </c>
      <c r="S26" s="57" t="n">
        <f aca="false">K26+O26</f>
        <v>930</v>
      </c>
      <c r="T26" s="58" t="n">
        <f aca="false">R26*Y26</f>
        <v>1.4726</v>
      </c>
      <c r="U26" s="58" t="n">
        <f aca="false">S26*Y26</f>
        <v>1.8507</v>
      </c>
      <c r="V26" s="57" t="n">
        <f aca="false">Z26+IF(F26=1,P26*G26,P26*E26)-(N26+O26)</f>
        <v>0</v>
      </c>
      <c r="W26" s="58" t="n">
        <f aca="false">V26*Y26</f>
        <v>0</v>
      </c>
      <c r="X26" s="45" t="s">
        <v>194</v>
      </c>
      <c r="Y26" s="59" t="n">
        <f aca="false">IF(H26="",0,IF(F26=1,H26/1000/G26,H26/E26))</f>
        <v>0.00199</v>
      </c>
      <c r="Z26" s="57" t="n">
        <f aca="false">I26+IF(F26=1,L26*G26,L26*E26)-(J26+K26)</f>
        <v>0</v>
      </c>
    </row>
    <row r="27" customFormat="false" ht="15" hidden="false" customHeight="false" outlineLevel="0" collapsed="false">
      <c r="A27" s="43" t="s">
        <v>191</v>
      </c>
      <c r="B27" s="27" t="s">
        <v>35</v>
      </c>
      <c r="C27" s="44" t="s">
        <v>15</v>
      </c>
      <c r="D27" s="45" t="s">
        <v>179</v>
      </c>
      <c r="E27" s="46" t="n">
        <v>1</v>
      </c>
      <c r="F27" s="47" t="n">
        <v>1</v>
      </c>
      <c r="G27" s="48" t="n">
        <v>1</v>
      </c>
      <c r="H27" s="49" t="n">
        <v>2.49</v>
      </c>
      <c r="I27" s="50" t="n">
        <v>0</v>
      </c>
      <c r="J27" s="51" t="n">
        <f aca="false">SUMIFS(Détail!$F$2:$F$929,Détail!$E$2:$E$929,$B27,Détail!$D$2:$D$929,"Nicolas",Détail!$J$2:$J$929,1)</f>
        <v>160</v>
      </c>
      <c r="K27" s="51" t="n">
        <f aca="false">SUMIFS(Détail!$F$2:$F$929,Détail!$E$2:$E$929,$B27,Détail!$D$2:$D$929,"Aurélie",Détail!$J$2:$J$929,1)</f>
        <v>160</v>
      </c>
      <c r="L27" s="52" t="n">
        <f aca="false">IF(J27+K27-I27&lt;=0,0,IF(F27=1,(J27+K27-I27)/G27,ROUNDUP((J27+K27-I27)/E27,0)))</f>
        <v>320</v>
      </c>
      <c r="M27" s="53" t="n">
        <f aca="false">IF(H27="",0,IF(F27=1,L27/1000*H27,L27*H27))</f>
        <v>0.7968</v>
      </c>
      <c r="N27" s="54" t="n">
        <f aca="false">SUMIFS(Détail!$F$2:$F$929,Détail!$E$2:$E$929,$B27,Détail!$D$2:$D$929,"Nicolas",Détail!$J$2:$J$929,2)</f>
        <v>540</v>
      </c>
      <c r="O27" s="54" t="n">
        <f aca="false">SUMIFS(Détail!$F$2:$F$929,Détail!$E$2:$E$929,$B27,Détail!$D$2:$D$929,"Aurélie",Détail!$J$2:$J$929,2)</f>
        <v>540</v>
      </c>
      <c r="P27" s="55" t="n">
        <f aca="false">IF(N27+O27-Z27&lt;=0,0,IF(F27=1,(N27+O27-Z27)/G27,ROUNDUP((N27+O27-Z27)/E27,0)))</f>
        <v>1080</v>
      </c>
      <c r="Q27" s="56" t="n">
        <f aca="false">IF(H27="",0,IF(F27=1,P27/1000*H27,P27*H27))</f>
        <v>2.6892</v>
      </c>
      <c r="R27" s="57" t="n">
        <f aca="false">J27+N27</f>
        <v>700</v>
      </c>
      <c r="S27" s="57" t="n">
        <f aca="false">K27+O27</f>
        <v>700</v>
      </c>
      <c r="T27" s="58" t="n">
        <f aca="false">R27*Y27</f>
        <v>1.743</v>
      </c>
      <c r="U27" s="58" t="n">
        <f aca="false">S27*Y27</f>
        <v>1.743</v>
      </c>
      <c r="V27" s="57" t="n">
        <f aca="false">Z27+IF(F27=1,P27*G27,P27*E27)-(N27+O27)</f>
        <v>0</v>
      </c>
      <c r="W27" s="58" t="n">
        <f aca="false">V27*Y27</f>
        <v>0</v>
      </c>
      <c r="X27" s="45" t="s">
        <v>195</v>
      </c>
      <c r="Y27" s="59" t="n">
        <f aca="false">IF(H27="",0,IF(F27=1,H27/1000/G27,H27/E27))</f>
        <v>0.00249</v>
      </c>
      <c r="Z27" s="57" t="n">
        <f aca="false">I27+IF(F27=1,L27*G27,L27*E27)-(J27+K27)</f>
        <v>0</v>
      </c>
    </row>
    <row r="28" customFormat="false" ht="23.85" hidden="false" customHeight="false" outlineLevel="0" collapsed="false">
      <c r="A28" s="43" t="s">
        <v>191</v>
      </c>
      <c r="B28" s="27" t="s">
        <v>58</v>
      </c>
      <c r="C28" s="44" t="s">
        <v>15</v>
      </c>
      <c r="D28" s="45" t="s">
        <v>196</v>
      </c>
      <c r="E28" s="46" t="n">
        <v>140</v>
      </c>
      <c r="F28" s="47" t="n">
        <v>0</v>
      </c>
      <c r="G28" s="48" t="n">
        <v>1</v>
      </c>
      <c r="H28" s="49" t="n">
        <v>0.89</v>
      </c>
      <c r="I28" s="50" t="n">
        <v>0</v>
      </c>
      <c r="J28" s="51" t="n">
        <f aca="false">SUMIFS(Détail!$F$2:$F$929,Détail!$E$2:$E$929,$B28,Détail!$D$2:$D$929,"Nicolas",Détail!$J$2:$J$929,1)</f>
        <v>40</v>
      </c>
      <c r="K28" s="51" t="n">
        <f aca="false">SUMIFS(Détail!$F$2:$F$929,Détail!$E$2:$E$929,$B28,Détail!$D$2:$D$929,"Aurélie",Détail!$J$2:$J$929,1)</f>
        <v>30</v>
      </c>
      <c r="L28" s="52" t="n">
        <f aca="false">IF(J28+K28-I28&lt;=0,0,IF(F28=1,(J28+K28-I28)/G28,ROUNDUP((J28+K28-I28)/E28,0)))</f>
        <v>1</v>
      </c>
      <c r="M28" s="53" t="n">
        <f aca="false">IF(H28="",0,IF(F28=1,L28/1000*H28,L28*H28))</f>
        <v>0.89</v>
      </c>
      <c r="N28" s="54" t="n">
        <f aca="false">SUMIFS(Détail!$F$2:$F$929,Détail!$E$2:$E$929,$B28,Détail!$D$2:$D$929,"Nicolas",Détail!$J$2:$J$929,2)</f>
        <v>40</v>
      </c>
      <c r="O28" s="54" t="n">
        <f aca="false">SUMIFS(Détail!$F$2:$F$929,Détail!$E$2:$E$929,$B28,Détail!$D$2:$D$929,"Aurélie",Détail!$J$2:$J$929,2)</f>
        <v>30</v>
      </c>
      <c r="P28" s="55" t="n">
        <f aca="false">IF(N28+O28-Z28&lt;=0,0,IF(F28=1,(N28+O28-Z28)/G28,ROUNDUP((N28+O28-Z28)/E28,0)))</f>
        <v>0</v>
      </c>
      <c r="Q28" s="56" t="n">
        <f aca="false">IF(H28="",0,IF(F28=1,P28/1000*H28,P28*H28))</f>
        <v>0</v>
      </c>
      <c r="R28" s="57" t="n">
        <f aca="false">J28+N28</f>
        <v>80</v>
      </c>
      <c r="S28" s="57" t="n">
        <f aca="false">K28+O28</f>
        <v>60</v>
      </c>
      <c r="T28" s="58" t="n">
        <f aca="false">R28*Y28</f>
        <v>0.508571428571429</v>
      </c>
      <c r="U28" s="58" t="n">
        <f aca="false">S28*Y28</f>
        <v>0.381428571428571</v>
      </c>
      <c r="V28" s="57" t="n">
        <f aca="false">Z28+IF(F28=1,P28*G28,P28*E28)-(N28+O28)</f>
        <v>0</v>
      </c>
      <c r="W28" s="58" t="n">
        <f aca="false">V28*Y28</f>
        <v>0</v>
      </c>
      <c r="X28" s="45" t="s">
        <v>197</v>
      </c>
      <c r="Y28" s="59" t="n">
        <f aca="false">IF(H28="",0,IF(F28=1,H28/1000/G28,H28/E28))</f>
        <v>0.00635714285714286</v>
      </c>
      <c r="Z28" s="57" t="n">
        <f aca="false">I28+IF(F28=1,L28*G28,L28*E28)-(J28+K28)</f>
        <v>70</v>
      </c>
    </row>
    <row r="29" customFormat="false" ht="35.05" hidden="false" customHeight="false" outlineLevel="0" collapsed="false">
      <c r="A29" s="43" t="s">
        <v>191</v>
      </c>
      <c r="B29" s="27" t="s">
        <v>20</v>
      </c>
      <c r="C29" s="44" t="s">
        <v>15</v>
      </c>
      <c r="D29" s="45" t="s">
        <v>179</v>
      </c>
      <c r="E29" s="46" t="n">
        <v>1</v>
      </c>
      <c r="F29" s="47" t="n">
        <v>1</v>
      </c>
      <c r="G29" s="48" t="n">
        <v>1</v>
      </c>
      <c r="H29" s="49" t="n">
        <v>2.79</v>
      </c>
      <c r="I29" s="50" t="n">
        <v>0</v>
      </c>
      <c r="J29" s="51" t="n">
        <f aca="false">SUMIFS(Détail!$F$2:$F$929,Détail!$E$2:$E$929,$B29,Détail!$D$2:$D$929,"Nicolas",Détail!$J$2:$J$929,1)</f>
        <v>630</v>
      </c>
      <c r="K29" s="51" t="n">
        <f aca="false">SUMIFS(Détail!$F$2:$F$929,Détail!$E$2:$E$929,$B29,Détail!$D$2:$D$929,"Aurélie",Détail!$J$2:$J$929,1)</f>
        <v>1190</v>
      </c>
      <c r="L29" s="52" t="n">
        <f aca="false">IF(J29+K29-I29&lt;=0,0,IF(F29=1,(J29+K29-I29)/G29,ROUNDUP((J29+K29-I29)/E29,0)))</f>
        <v>1820</v>
      </c>
      <c r="M29" s="53" t="n">
        <f aca="false">IF(H29="",0,IF(F29=1,L29/1000*H29,L29*H29))</f>
        <v>5.0778</v>
      </c>
      <c r="N29" s="54" t="n">
        <f aca="false">SUMIFS(Détail!$F$2:$F$929,Détail!$E$2:$E$929,$B29,Détail!$D$2:$D$929,"Nicolas",Détail!$J$2:$J$929,2)</f>
        <v>2770</v>
      </c>
      <c r="O29" s="54" t="n">
        <f aca="false">SUMIFS(Détail!$F$2:$F$929,Détail!$E$2:$E$929,$B29,Détail!$D$2:$D$929,"Aurélie",Détail!$J$2:$J$929,2)</f>
        <v>4600</v>
      </c>
      <c r="P29" s="55" t="n">
        <f aca="false">IF(N29+O29-Z29&lt;=0,0,IF(F29=1,(N29+O29-Z29)/G29,ROUNDUP((N29+O29-Z29)/E29,0)))</f>
        <v>7370</v>
      </c>
      <c r="Q29" s="56" t="n">
        <f aca="false">IF(H29="",0,IF(F29=1,P29/1000*H29,P29*H29))</f>
        <v>20.5623</v>
      </c>
      <c r="R29" s="57" t="n">
        <f aca="false">J29+N29</f>
        <v>3400</v>
      </c>
      <c r="S29" s="57" t="n">
        <f aca="false">K29+O29</f>
        <v>5790</v>
      </c>
      <c r="T29" s="58" t="n">
        <f aca="false">R29*Y29</f>
        <v>9.486</v>
      </c>
      <c r="U29" s="58" t="n">
        <f aca="false">S29*Y29</f>
        <v>16.1541</v>
      </c>
      <c r="V29" s="57" t="n">
        <f aca="false">Z29+IF(F29=1,P29*G29,P29*E29)-(N29+O29)</f>
        <v>0</v>
      </c>
      <c r="W29" s="58" t="n">
        <f aca="false">V29*Y29</f>
        <v>0</v>
      </c>
      <c r="X29" s="45" t="s">
        <v>198</v>
      </c>
      <c r="Y29" s="59" t="n">
        <f aca="false">IF(H29="",0,IF(F29=1,H29/1000/G29,H29/E29))</f>
        <v>0.00279</v>
      </c>
      <c r="Z29" s="57" t="n">
        <f aca="false">I29+IF(F29=1,L29*G29,L29*E29)-(J29+K29)</f>
        <v>0</v>
      </c>
    </row>
    <row r="30" customFormat="false" ht="35.05" hidden="false" customHeight="false" outlineLevel="0" collapsed="false">
      <c r="A30" s="43" t="s">
        <v>191</v>
      </c>
      <c r="B30" s="27" t="s">
        <v>33</v>
      </c>
      <c r="C30" s="44" t="s">
        <v>15</v>
      </c>
      <c r="D30" s="45" t="s">
        <v>179</v>
      </c>
      <c r="E30" s="46" t="n">
        <v>1</v>
      </c>
      <c r="F30" s="47" t="n">
        <v>1</v>
      </c>
      <c r="G30" s="48" t="n">
        <v>1</v>
      </c>
      <c r="H30" s="49" t="n">
        <v>1.49</v>
      </c>
      <c r="I30" s="50" t="n">
        <v>0</v>
      </c>
      <c r="J30" s="51" t="n">
        <f aca="false">SUMIFS(Détail!$F$2:$F$929,Détail!$E$2:$E$929,$B30,Détail!$D$2:$D$929,"Nicolas",Détail!$J$2:$J$929,1)</f>
        <v>320</v>
      </c>
      <c r="K30" s="51" t="n">
        <f aca="false">SUMIFS(Détail!$F$2:$F$929,Détail!$E$2:$E$929,$B30,Détail!$D$2:$D$929,"Aurélie",Détail!$J$2:$J$929,1)</f>
        <v>370</v>
      </c>
      <c r="L30" s="52" t="n">
        <f aca="false">IF(J30+K30-I30&lt;=0,0,IF(F30=1,(J30+K30-I30)/G30,ROUNDUP((J30+K30-I30)/E30,0)))</f>
        <v>690</v>
      </c>
      <c r="M30" s="53" t="n">
        <f aca="false">IF(H30="",0,IF(F30=1,L30/1000*H30,L30*H30))</f>
        <v>1.0281</v>
      </c>
      <c r="N30" s="54" t="n">
        <f aca="false">SUMIFS(Détail!$F$2:$F$929,Détail!$E$2:$E$929,$B30,Détail!$D$2:$D$929,"Nicolas",Détail!$J$2:$J$929,2)</f>
        <v>1470</v>
      </c>
      <c r="O30" s="54" t="n">
        <f aca="false">SUMIFS(Détail!$F$2:$F$929,Détail!$E$2:$E$929,$B30,Détail!$D$2:$D$929,"Aurélie",Détail!$J$2:$J$929,2)</f>
        <v>1760</v>
      </c>
      <c r="P30" s="55" t="n">
        <f aca="false">IF(N30+O30-Z30&lt;=0,0,IF(F30=1,(N30+O30-Z30)/G30,ROUNDUP((N30+O30-Z30)/E30,0)))</f>
        <v>3230</v>
      </c>
      <c r="Q30" s="56" t="n">
        <f aca="false">IF(H30="",0,IF(F30=1,P30/1000*H30,P30*H30))</f>
        <v>4.8127</v>
      </c>
      <c r="R30" s="57" t="n">
        <f aca="false">J30+N30</f>
        <v>1790</v>
      </c>
      <c r="S30" s="57" t="n">
        <f aca="false">K30+O30</f>
        <v>2130</v>
      </c>
      <c r="T30" s="58" t="n">
        <f aca="false">R30*Y30</f>
        <v>2.6671</v>
      </c>
      <c r="U30" s="58" t="n">
        <f aca="false">S30*Y30</f>
        <v>3.1737</v>
      </c>
      <c r="V30" s="57" t="n">
        <f aca="false">Z30+IF(F30=1,P30*G30,P30*E30)-(N30+O30)</f>
        <v>0</v>
      </c>
      <c r="W30" s="58" t="n">
        <f aca="false">V30*Y30</f>
        <v>0</v>
      </c>
      <c r="X30" s="45" t="s">
        <v>199</v>
      </c>
      <c r="Y30" s="59" t="n">
        <f aca="false">IF(H30="",0,IF(F30=1,H30/1000/G30,H30/E30))</f>
        <v>0.00149</v>
      </c>
      <c r="Z30" s="57" t="n">
        <f aca="false">I30+IF(F30=1,L30*G30,L30*E30)-(J30+K30)</f>
        <v>0</v>
      </c>
    </row>
    <row r="31" customFormat="false" ht="23.85" hidden="false" customHeight="false" outlineLevel="0" collapsed="false">
      <c r="A31" s="43" t="s">
        <v>191</v>
      </c>
      <c r="B31" s="27" t="s">
        <v>34</v>
      </c>
      <c r="C31" s="44" t="s">
        <v>15</v>
      </c>
      <c r="D31" s="45" t="s">
        <v>179</v>
      </c>
      <c r="E31" s="46" t="n">
        <v>1</v>
      </c>
      <c r="F31" s="47" t="n">
        <v>1</v>
      </c>
      <c r="G31" s="48" t="n">
        <v>1</v>
      </c>
      <c r="H31" s="49" t="n">
        <v>13.98</v>
      </c>
      <c r="I31" s="50" t="n">
        <v>0</v>
      </c>
      <c r="J31" s="51" t="n">
        <f aca="false">SUMIFS(Détail!$F$2:$F$929,Détail!$E$2:$E$929,$B31,Détail!$D$2:$D$929,"Nicolas",Détail!$J$2:$J$929,1)</f>
        <v>110</v>
      </c>
      <c r="K31" s="51" t="n">
        <f aca="false">SUMIFS(Détail!$F$2:$F$929,Détail!$E$2:$E$929,$B31,Détail!$D$2:$D$929,"Aurélie",Détail!$J$2:$J$929,1)</f>
        <v>140</v>
      </c>
      <c r="L31" s="52" t="n">
        <f aca="false">IF(J31+K31-I31&lt;=0,0,IF(F31=1,(J31+K31-I31)/G31,ROUNDUP((J31+K31-I31)/E31,0)))</f>
        <v>250</v>
      </c>
      <c r="M31" s="53" t="n">
        <f aca="false">IF(H31="",0,IF(F31=1,L31/1000*H31,L31*H31))</f>
        <v>3.495</v>
      </c>
      <c r="N31" s="54" t="n">
        <f aca="false">SUMIFS(Détail!$F$2:$F$929,Détail!$E$2:$E$929,$B31,Détail!$D$2:$D$929,"Nicolas",Détail!$J$2:$J$929,2)</f>
        <v>330</v>
      </c>
      <c r="O31" s="54" t="n">
        <f aca="false">SUMIFS(Détail!$F$2:$F$929,Détail!$E$2:$E$929,$B31,Détail!$D$2:$D$929,"Aurélie",Détail!$J$2:$J$929,2)</f>
        <v>420</v>
      </c>
      <c r="P31" s="55" t="n">
        <f aca="false">IF(N31+O31-Z31&lt;=0,0,IF(F31=1,(N31+O31-Z31)/G31,ROUNDUP((N31+O31-Z31)/E31,0)))</f>
        <v>750</v>
      </c>
      <c r="Q31" s="56" t="n">
        <f aca="false">IF(H31="",0,IF(F31=1,P31/1000*H31,P31*H31))</f>
        <v>10.485</v>
      </c>
      <c r="R31" s="57" t="n">
        <f aca="false">J31+N31</f>
        <v>440</v>
      </c>
      <c r="S31" s="57" t="n">
        <f aca="false">K31+O31</f>
        <v>560</v>
      </c>
      <c r="T31" s="58" t="n">
        <f aca="false">R31*Y31</f>
        <v>6.1512</v>
      </c>
      <c r="U31" s="58" t="n">
        <f aca="false">S31*Y31</f>
        <v>7.8288</v>
      </c>
      <c r="V31" s="57" t="n">
        <f aca="false">Z31+IF(F31=1,P31*G31,P31*E31)-(N31+O31)</f>
        <v>0</v>
      </c>
      <c r="W31" s="58" t="n">
        <f aca="false">V31*Y31</f>
        <v>0</v>
      </c>
      <c r="X31" s="45" t="s">
        <v>200</v>
      </c>
      <c r="Y31" s="59" t="n">
        <f aca="false">IF(H31="",0,IF(F31=1,H31/1000/G31,H31/E31))</f>
        <v>0.01398</v>
      </c>
      <c r="Z31" s="57" t="n">
        <f aca="false">I31+IF(F31=1,L31*G31,L31*E31)-(J31+K31)</f>
        <v>0</v>
      </c>
    </row>
    <row r="32" customFormat="false" ht="23.85" hidden="false" customHeight="false" outlineLevel="0" collapsed="false">
      <c r="A32" s="43" t="s">
        <v>191</v>
      </c>
      <c r="B32" s="27" t="s">
        <v>72</v>
      </c>
      <c r="C32" s="44" t="s">
        <v>15</v>
      </c>
      <c r="D32" s="45" t="s">
        <v>179</v>
      </c>
      <c r="E32" s="46" t="n">
        <v>1</v>
      </c>
      <c r="F32" s="47" t="n">
        <v>1</v>
      </c>
      <c r="G32" s="48" t="n">
        <v>1</v>
      </c>
      <c r="H32" s="49" t="n">
        <v>2.29</v>
      </c>
      <c r="I32" s="50" t="n">
        <v>0</v>
      </c>
      <c r="J32" s="51" t="n">
        <f aca="false">SUMIFS(Détail!$F$2:$F$929,Détail!$E$2:$E$929,$B32,Détail!$D$2:$D$929,"Nicolas",Détail!$J$2:$J$929,1)</f>
        <v>0</v>
      </c>
      <c r="K32" s="51" t="n">
        <f aca="false">SUMIFS(Détail!$F$2:$F$929,Détail!$E$2:$E$929,$B32,Détail!$D$2:$D$929,"Aurélie",Détail!$J$2:$J$929,1)</f>
        <v>0</v>
      </c>
      <c r="L32" s="52" t="n">
        <f aca="false">IF(J32+K32-I32&lt;=0,0,IF(F32=1,(J32+K32-I32)/G32,ROUNDUP((J32+K32-I32)/E32,0)))</f>
        <v>0</v>
      </c>
      <c r="M32" s="53" t="n">
        <f aca="false">IF(H32="",0,IF(F32=1,L32/1000*H32,L32*H32))</f>
        <v>0</v>
      </c>
      <c r="N32" s="54" t="n">
        <f aca="false">SUMIFS(Détail!$F$2:$F$929,Détail!$E$2:$E$929,$B32,Détail!$D$2:$D$929,"Nicolas",Détail!$J$2:$J$929,2)</f>
        <v>210</v>
      </c>
      <c r="O32" s="54" t="n">
        <f aca="false">SUMIFS(Détail!$F$2:$F$929,Détail!$E$2:$E$929,$B32,Détail!$D$2:$D$929,"Aurélie",Détail!$J$2:$J$929,2)</f>
        <v>260</v>
      </c>
      <c r="P32" s="55" t="n">
        <f aca="false">IF(N32+O32-Z32&lt;=0,0,IF(F32=1,(N32+O32-Z32)/G32,ROUNDUP((N32+O32-Z32)/E32,0)))</f>
        <v>470</v>
      </c>
      <c r="Q32" s="56" t="n">
        <f aca="false">IF(H32="",0,IF(F32=1,P32/1000*H32,P32*H32))</f>
        <v>1.0763</v>
      </c>
      <c r="R32" s="57" t="n">
        <f aca="false">J32+N32</f>
        <v>210</v>
      </c>
      <c r="S32" s="57" t="n">
        <f aca="false">K32+O32</f>
        <v>260</v>
      </c>
      <c r="T32" s="58" t="n">
        <f aca="false">R32*Y32</f>
        <v>0.4809</v>
      </c>
      <c r="U32" s="58" t="n">
        <f aca="false">S32*Y32</f>
        <v>0.5954</v>
      </c>
      <c r="V32" s="57" t="n">
        <f aca="false">Z32+IF(F32=1,P32*G32,P32*E32)-(N32+O32)</f>
        <v>0</v>
      </c>
      <c r="W32" s="58" t="n">
        <f aca="false">V32*Y32</f>
        <v>0</v>
      </c>
      <c r="X32" s="45" t="s">
        <v>201</v>
      </c>
      <c r="Y32" s="59" t="n">
        <f aca="false">IF(H32="",0,IF(F32=1,H32/1000/G32,H32/E32))</f>
        <v>0.00229</v>
      </c>
      <c r="Z32" s="57" t="n">
        <f aca="false">I32+IF(F32=1,L32*G32,L32*E32)-(J32+K32)</f>
        <v>0</v>
      </c>
    </row>
    <row r="33" customFormat="false" ht="23.85" hidden="false" customHeight="false" outlineLevel="0" collapsed="false">
      <c r="A33" s="43" t="s">
        <v>191</v>
      </c>
      <c r="B33" s="27" t="s">
        <v>67</v>
      </c>
      <c r="C33" s="44" t="s">
        <v>15</v>
      </c>
      <c r="D33" s="45" t="s">
        <v>202</v>
      </c>
      <c r="E33" s="46" t="n">
        <v>250</v>
      </c>
      <c r="F33" s="47" t="n">
        <v>0</v>
      </c>
      <c r="G33" s="48" t="n">
        <v>1</v>
      </c>
      <c r="H33" s="49" t="n">
        <v>1.08</v>
      </c>
      <c r="I33" s="50" t="n">
        <v>0</v>
      </c>
      <c r="J33" s="51" t="n">
        <f aca="false">SUMIFS(Détail!$F$2:$F$929,Détail!$E$2:$E$929,$B33,Détail!$D$2:$D$929,"Nicolas",Détail!$J$2:$J$929,1)</f>
        <v>0</v>
      </c>
      <c r="K33" s="51" t="n">
        <f aca="false">SUMIFS(Détail!$F$2:$F$929,Détail!$E$2:$E$929,$B33,Détail!$D$2:$D$929,"Aurélie",Détail!$J$2:$J$929,1)</f>
        <v>0</v>
      </c>
      <c r="L33" s="52" t="n">
        <f aca="false">IF(J33+K33-I33&lt;=0,0,IF(F33=1,(J33+K33-I33)/G33,ROUNDUP((J33+K33-I33)/E33,0)))</f>
        <v>0</v>
      </c>
      <c r="M33" s="53" t="n">
        <f aca="false">IF(H33="",0,IF(F33=1,L33/1000*H33,L33*H33))</f>
        <v>0</v>
      </c>
      <c r="N33" s="54" t="n">
        <f aca="false">SUMIFS(Détail!$F$2:$F$929,Détail!$E$2:$E$929,$B33,Détail!$D$2:$D$929,"Nicolas",Détail!$J$2:$J$929,2)</f>
        <v>350</v>
      </c>
      <c r="O33" s="54" t="n">
        <f aca="false">SUMIFS(Détail!$F$2:$F$929,Détail!$E$2:$E$929,$B33,Détail!$D$2:$D$929,"Aurélie",Détail!$J$2:$J$929,2)</f>
        <v>390</v>
      </c>
      <c r="P33" s="55" t="n">
        <f aca="false">IF(N33+O33-Z33&lt;=0,0,IF(F33=1,(N33+O33-Z33)/G33,ROUNDUP((N33+O33-Z33)/E33,0)))</f>
        <v>3</v>
      </c>
      <c r="Q33" s="56" t="n">
        <f aca="false">IF(H33="",0,IF(F33=1,P33/1000*H33,P33*H33))</f>
        <v>3.24</v>
      </c>
      <c r="R33" s="57" t="n">
        <f aca="false">J33+N33</f>
        <v>350</v>
      </c>
      <c r="S33" s="57" t="n">
        <f aca="false">K33+O33</f>
        <v>390</v>
      </c>
      <c r="T33" s="58" t="n">
        <f aca="false">R33*Y33</f>
        <v>1.512</v>
      </c>
      <c r="U33" s="58" t="n">
        <f aca="false">S33*Y33</f>
        <v>1.6848</v>
      </c>
      <c r="V33" s="57" t="n">
        <f aca="false">Z33+IF(F33=1,P33*G33,P33*E33)-(N33+O33)</f>
        <v>10</v>
      </c>
      <c r="W33" s="58" t="n">
        <f aca="false">V33*Y33</f>
        <v>0.0432</v>
      </c>
      <c r="X33" s="45" t="s">
        <v>203</v>
      </c>
      <c r="Y33" s="59" t="n">
        <f aca="false">IF(H33="",0,IF(F33=1,H33/1000/G33,H33/E33))</f>
        <v>0.00432</v>
      </c>
      <c r="Z33" s="57" t="n">
        <f aca="false">I33+IF(F33=1,L33*G33,L33*E33)-(J33+K33)</f>
        <v>0</v>
      </c>
    </row>
    <row r="34" customFormat="false" ht="23.85" hidden="false" customHeight="false" outlineLevel="0" collapsed="false">
      <c r="A34" s="43" t="s">
        <v>191</v>
      </c>
      <c r="B34" s="27" t="s">
        <v>46</v>
      </c>
      <c r="C34" s="44" t="s">
        <v>15</v>
      </c>
      <c r="D34" s="45" t="s">
        <v>204</v>
      </c>
      <c r="E34" s="46" t="n">
        <v>300</v>
      </c>
      <c r="F34" s="47" t="n">
        <v>0</v>
      </c>
      <c r="G34" s="48" t="n">
        <v>1</v>
      </c>
      <c r="H34" s="49" t="n">
        <v>1.39</v>
      </c>
      <c r="I34" s="50" t="n">
        <v>0</v>
      </c>
      <c r="J34" s="51" t="n">
        <f aca="false">SUMIFS(Détail!$F$2:$F$929,Détail!$E$2:$E$929,$B34,Détail!$D$2:$D$929,"Nicolas",Détail!$J$2:$J$929,1)</f>
        <v>110</v>
      </c>
      <c r="K34" s="51" t="n">
        <f aca="false">SUMIFS(Détail!$F$2:$F$929,Détail!$E$2:$E$929,$B34,Détail!$D$2:$D$929,"Aurélie",Détail!$J$2:$J$929,1)</f>
        <v>160</v>
      </c>
      <c r="L34" s="52" t="n">
        <f aca="false">IF(J34+K34-I34&lt;=0,0,IF(F34=1,(J34+K34-I34)/G34,ROUNDUP((J34+K34-I34)/E34,0)))</f>
        <v>1</v>
      </c>
      <c r="M34" s="53" t="n">
        <f aca="false">IF(H34="",0,IF(F34=1,L34/1000*H34,L34*H34))</f>
        <v>1.39</v>
      </c>
      <c r="N34" s="54" t="n">
        <f aca="false">SUMIFS(Détail!$F$2:$F$929,Détail!$E$2:$E$929,$B34,Détail!$D$2:$D$929,"Nicolas",Détail!$J$2:$J$929,2)</f>
        <v>340</v>
      </c>
      <c r="O34" s="54" t="n">
        <f aca="false">SUMIFS(Détail!$F$2:$F$929,Détail!$E$2:$E$929,$B34,Détail!$D$2:$D$929,"Aurélie",Détail!$J$2:$J$929,2)</f>
        <v>510</v>
      </c>
      <c r="P34" s="55" t="n">
        <f aca="false">IF(N34+O34-Z34&lt;=0,0,IF(F34=1,(N34+O34-Z34)/G34,ROUNDUP((N34+O34-Z34)/E34,0)))</f>
        <v>3</v>
      </c>
      <c r="Q34" s="56" t="n">
        <f aca="false">IF(H34="",0,IF(F34=1,P34/1000*H34,P34*H34))</f>
        <v>4.17</v>
      </c>
      <c r="R34" s="57" t="n">
        <f aca="false">J34+N34</f>
        <v>450</v>
      </c>
      <c r="S34" s="57" t="n">
        <f aca="false">K34+O34</f>
        <v>670</v>
      </c>
      <c r="T34" s="58" t="n">
        <f aca="false">R34*Y34</f>
        <v>2.085</v>
      </c>
      <c r="U34" s="58" t="n">
        <f aca="false">S34*Y34</f>
        <v>3.10433333333333</v>
      </c>
      <c r="V34" s="57" t="n">
        <f aca="false">Z34+IF(F34=1,P34*G34,P34*E34)-(N34+O34)</f>
        <v>80</v>
      </c>
      <c r="W34" s="58" t="n">
        <f aca="false">V34*Y34</f>
        <v>0.370666666666667</v>
      </c>
      <c r="X34" s="45" t="s">
        <v>205</v>
      </c>
      <c r="Y34" s="59" t="n">
        <f aca="false">IF(H34="",0,IF(F34=1,H34/1000/G34,H34/E34))</f>
        <v>0.00463333333333333</v>
      </c>
      <c r="Z34" s="57" t="n">
        <f aca="false">I34+IF(F34=1,L34*G34,L34*E34)-(J34+K34)</f>
        <v>30</v>
      </c>
    </row>
    <row r="35" customFormat="false" ht="15" hidden="false" customHeight="false" outlineLevel="0" collapsed="false">
      <c r="A35" s="43" t="s">
        <v>206</v>
      </c>
      <c r="B35" s="27" t="s">
        <v>22</v>
      </c>
      <c r="C35" s="44" t="s">
        <v>15</v>
      </c>
      <c r="D35" s="45" t="s">
        <v>179</v>
      </c>
      <c r="E35" s="46" t="n">
        <v>1</v>
      </c>
      <c r="F35" s="47" t="n">
        <v>1</v>
      </c>
      <c r="G35" s="48" t="n">
        <v>1</v>
      </c>
      <c r="H35" s="49" t="n">
        <v>2.99</v>
      </c>
      <c r="I35" s="50" t="n">
        <v>0</v>
      </c>
      <c r="J35" s="51" t="n">
        <f aca="false">SUMIFS(Détail!$F$2:$F$929,Détail!$E$2:$E$929,$B35,Détail!$D$2:$D$929,"Nicolas",Détail!$J$2:$J$929,1)</f>
        <v>0</v>
      </c>
      <c r="K35" s="51" t="n">
        <f aca="false">SUMIFS(Détail!$F$2:$F$929,Détail!$E$2:$E$929,$B35,Détail!$D$2:$D$929,"Aurélie",Détail!$J$2:$J$929,1)</f>
        <v>750</v>
      </c>
      <c r="L35" s="52" t="n">
        <f aca="false">IF(J35+K35-I35&lt;=0,0,IF(F35=1,(J35+K35-I35)/G35,ROUNDUP((J35+K35-I35)/E35,0)))</f>
        <v>750</v>
      </c>
      <c r="M35" s="53" t="n">
        <f aca="false">IF(H35="",0,IF(F35=1,L35/1000*H35,L35*H35))</f>
        <v>2.2425</v>
      </c>
      <c r="N35" s="54" t="n">
        <f aca="false">SUMIFS(Détail!$F$2:$F$929,Détail!$E$2:$E$929,$B35,Détail!$D$2:$D$929,"Nicolas",Détail!$J$2:$J$929,2)</f>
        <v>0</v>
      </c>
      <c r="O35" s="54" t="n">
        <f aca="false">SUMIFS(Détail!$F$2:$F$929,Détail!$E$2:$E$929,$B35,Détail!$D$2:$D$929,"Aurélie",Détail!$J$2:$J$929,2)</f>
        <v>2400</v>
      </c>
      <c r="P35" s="55" t="n">
        <f aca="false">IF(N35+O35-Z35&lt;=0,0,IF(F35=1,(N35+O35-Z35)/G35,ROUNDUP((N35+O35-Z35)/E35,0)))</f>
        <v>2400</v>
      </c>
      <c r="Q35" s="56" t="n">
        <f aca="false">IF(H35="",0,IF(F35=1,P35/1000*H35,P35*H35))</f>
        <v>7.176</v>
      </c>
      <c r="R35" s="57" t="n">
        <f aca="false">J35+N35</f>
        <v>0</v>
      </c>
      <c r="S35" s="57" t="n">
        <f aca="false">K35+O35</f>
        <v>3150</v>
      </c>
      <c r="T35" s="58" t="n">
        <f aca="false">R35*Y35</f>
        <v>0</v>
      </c>
      <c r="U35" s="58" t="n">
        <f aca="false">S35*Y35</f>
        <v>9.4185</v>
      </c>
      <c r="V35" s="57" t="n">
        <f aca="false">Z35+IF(F35=1,P35*G35,P35*E35)-(N35+O35)</f>
        <v>0</v>
      </c>
      <c r="W35" s="58" t="n">
        <f aca="false">V35*Y35</f>
        <v>0</v>
      </c>
      <c r="X35" s="45" t="s">
        <v>207</v>
      </c>
      <c r="Y35" s="59" t="n">
        <f aca="false">IF(H35="",0,IF(F35=1,H35/1000/G35,H35/E35))</f>
        <v>0.00299</v>
      </c>
      <c r="Z35" s="57" t="n">
        <f aca="false">I35+IF(F35=1,L35*G35,L35*E35)-(J35+K35)</f>
        <v>0</v>
      </c>
    </row>
    <row r="36" customFormat="false" ht="23.85" hidden="false" customHeight="false" outlineLevel="0" collapsed="false">
      <c r="A36" s="43" t="s">
        <v>206</v>
      </c>
      <c r="B36" s="27" t="s">
        <v>14</v>
      </c>
      <c r="C36" s="44" t="s">
        <v>15</v>
      </c>
      <c r="D36" s="45" t="s">
        <v>179</v>
      </c>
      <c r="E36" s="46" t="n">
        <v>1</v>
      </c>
      <c r="F36" s="47" t="n">
        <v>1</v>
      </c>
      <c r="G36" s="48" t="n">
        <v>1</v>
      </c>
      <c r="H36" s="49" t="n">
        <v>1.89</v>
      </c>
      <c r="I36" s="50" t="n">
        <v>0</v>
      </c>
      <c r="J36" s="51" t="n">
        <f aca="false">SUMIFS(Détail!$F$2:$F$929,Détail!$E$2:$E$929,$B36,Détail!$D$2:$D$929,"Nicolas",Détail!$J$2:$J$929,1)</f>
        <v>500</v>
      </c>
      <c r="K36" s="51" t="n">
        <f aca="false">SUMIFS(Détail!$F$2:$F$929,Détail!$E$2:$E$929,$B36,Détail!$D$2:$D$929,"Aurélie",Détail!$J$2:$J$929,1)</f>
        <v>0</v>
      </c>
      <c r="L36" s="52" t="n">
        <f aca="false">IF(J36+K36-I36&lt;=0,0,IF(F36=1,(J36+K36-I36)/G36,ROUNDUP((J36+K36-I36)/E36,0)))</f>
        <v>500</v>
      </c>
      <c r="M36" s="53" t="n">
        <f aca="false">IF(H36="",0,IF(F36=1,L36/1000*H36,L36*H36))</f>
        <v>0.945</v>
      </c>
      <c r="N36" s="54" t="n">
        <f aca="false">SUMIFS(Détail!$F$2:$F$929,Détail!$E$2:$E$929,$B36,Détail!$D$2:$D$929,"Nicolas",Détail!$J$2:$J$929,2)</f>
        <v>1600</v>
      </c>
      <c r="O36" s="54" t="n">
        <f aca="false">SUMIFS(Détail!$F$2:$F$929,Détail!$E$2:$E$929,$B36,Détail!$D$2:$D$929,"Aurélie",Détail!$J$2:$J$929,2)</f>
        <v>0</v>
      </c>
      <c r="P36" s="55" t="n">
        <f aca="false">IF(N36+O36-Z36&lt;=0,0,IF(F36=1,(N36+O36-Z36)/G36,ROUNDUP((N36+O36-Z36)/E36,0)))</f>
        <v>1600</v>
      </c>
      <c r="Q36" s="56" t="n">
        <f aca="false">IF(H36="",0,IF(F36=1,P36/1000*H36,P36*H36))</f>
        <v>3.024</v>
      </c>
      <c r="R36" s="57" t="n">
        <f aca="false">J36+N36</f>
        <v>2100</v>
      </c>
      <c r="S36" s="57" t="n">
        <f aca="false">K36+O36</f>
        <v>0</v>
      </c>
      <c r="T36" s="58" t="n">
        <f aca="false">R36*Y36</f>
        <v>3.969</v>
      </c>
      <c r="U36" s="58" t="n">
        <f aca="false">S36*Y36</f>
        <v>0</v>
      </c>
      <c r="V36" s="57" t="n">
        <f aca="false">Z36+IF(F36=1,P36*G36,P36*E36)-(N36+O36)</f>
        <v>0</v>
      </c>
      <c r="W36" s="58" t="n">
        <f aca="false">V36*Y36</f>
        <v>0</v>
      </c>
      <c r="X36" s="45" t="s">
        <v>208</v>
      </c>
      <c r="Y36" s="59" t="n">
        <f aca="false">IF(H36="",0,IF(F36=1,H36/1000/G36,H36/E36))</f>
        <v>0.00189</v>
      </c>
      <c r="Z36" s="57" t="n">
        <f aca="false">I36+IF(F36=1,L36*G36,L36*E36)-(J36+K36)</f>
        <v>0</v>
      </c>
    </row>
    <row r="37" customFormat="false" ht="23.85" hidden="false" customHeight="false" outlineLevel="0" collapsed="false">
      <c r="A37" s="43" t="s">
        <v>206</v>
      </c>
      <c r="B37" s="27" t="s">
        <v>57</v>
      </c>
      <c r="C37" s="44" t="s">
        <v>15</v>
      </c>
      <c r="D37" s="45" t="s">
        <v>209</v>
      </c>
      <c r="E37" s="46" t="n">
        <v>350</v>
      </c>
      <c r="F37" s="47" t="n">
        <v>0</v>
      </c>
      <c r="G37" s="48" t="n">
        <v>1</v>
      </c>
      <c r="H37" s="49" t="n">
        <v>1.99</v>
      </c>
      <c r="I37" s="50" t="n">
        <v>0</v>
      </c>
      <c r="J37" s="51" t="n">
        <f aca="false">SUMIFS(Détail!$F$2:$F$929,Détail!$E$2:$E$929,$B37,Détail!$D$2:$D$929,"Nicolas",Détail!$J$2:$J$929,1)</f>
        <v>160</v>
      </c>
      <c r="K37" s="51" t="n">
        <f aca="false">SUMIFS(Détail!$F$2:$F$929,Détail!$E$2:$E$929,$B37,Détail!$D$2:$D$929,"Aurélie",Détail!$J$2:$J$929,1)</f>
        <v>120</v>
      </c>
      <c r="L37" s="52" t="n">
        <f aca="false">IF(J37+K37-I37&lt;=0,0,IF(F37=1,(J37+K37-I37)/G37,ROUNDUP((J37+K37-I37)/E37,0)))</f>
        <v>1</v>
      </c>
      <c r="M37" s="53" t="n">
        <f aca="false">IF(H37="",0,IF(F37=1,L37/1000*H37,L37*H37))</f>
        <v>1.99</v>
      </c>
      <c r="N37" s="54" t="n">
        <f aca="false">SUMIFS(Détail!$F$2:$F$929,Détail!$E$2:$E$929,$B37,Détail!$D$2:$D$929,"Nicolas",Détail!$J$2:$J$929,2)</f>
        <v>310</v>
      </c>
      <c r="O37" s="54" t="n">
        <f aca="false">SUMIFS(Détail!$F$2:$F$929,Détail!$E$2:$E$929,$B37,Détail!$D$2:$D$929,"Aurélie",Détail!$J$2:$J$929,2)</f>
        <v>230</v>
      </c>
      <c r="P37" s="55" t="n">
        <f aca="false">IF(N37+O37-Z37&lt;=0,0,IF(F37=1,(N37+O37-Z37)/G37,ROUNDUP((N37+O37-Z37)/E37,0)))</f>
        <v>2</v>
      </c>
      <c r="Q37" s="56" t="n">
        <f aca="false">IF(H37="",0,IF(F37=1,P37/1000*H37,P37*H37))</f>
        <v>3.98</v>
      </c>
      <c r="R37" s="57" t="n">
        <f aca="false">J37+N37</f>
        <v>470</v>
      </c>
      <c r="S37" s="57" t="n">
        <f aca="false">K37+O37</f>
        <v>350</v>
      </c>
      <c r="T37" s="58" t="n">
        <f aca="false">R37*Y37</f>
        <v>2.67228571428571</v>
      </c>
      <c r="U37" s="58" t="n">
        <f aca="false">S37*Y37</f>
        <v>1.99</v>
      </c>
      <c r="V37" s="57" t="n">
        <f aca="false">Z37+IF(F37=1,P37*G37,P37*E37)-(N37+O37)</f>
        <v>230</v>
      </c>
      <c r="W37" s="58" t="n">
        <f aca="false">V37*Y37</f>
        <v>1.30771428571429</v>
      </c>
      <c r="X37" s="45" t="s">
        <v>210</v>
      </c>
      <c r="Y37" s="59" t="n">
        <f aca="false">IF(H37="",0,IF(F37=1,H37/1000/G37,H37/E37))</f>
        <v>0.00568571428571429</v>
      </c>
      <c r="Z37" s="57" t="n">
        <f aca="false">I37+IF(F37=1,L37*G37,L37*E37)-(J37+K37)</f>
        <v>70</v>
      </c>
    </row>
    <row r="38" customFormat="false" ht="23.85" hidden="false" customHeight="false" outlineLevel="0" collapsed="false">
      <c r="A38" s="43" t="s">
        <v>206</v>
      </c>
      <c r="B38" s="27" t="s">
        <v>73</v>
      </c>
      <c r="C38" s="44" t="s">
        <v>15</v>
      </c>
      <c r="D38" s="45" t="s">
        <v>211</v>
      </c>
      <c r="E38" s="46" t="n">
        <v>1</v>
      </c>
      <c r="F38" s="47" t="n">
        <v>1</v>
      </c>
      <c r="G38" s="48" t="n">
        <v>0.7</v>
      </c>
      <c r="H38" s="49" t="n">
        <v>8.99</v>
      </c>
      <c r="I38" s="50" t="n">
        <v>0</v>
      </c>
      <c r="J38" s="51" t="n">
        <f aca="false">SUMIFS(Détail!$F$2:$F$929,Détail!$E$2:$E$929,$B38,Détail!$D$2:$D$929,"Nicolas",Détail!$J$2:$J$929,1)</f>
        <v>0</v>
      </c>
      <c r="K38" s="51" t="n">
        <f aca="false">SUMIFS(Détail!$F$2:$F$929,Détail!$E$2:$E$929,$B38,Détail!$D$2:$D$929,"Aurélie",Détail!$J$2:$J$929,1)</f>
        <v>0</v>
      </c>
      <c r="L38" s="52" t="n">
        <f aca="false">IF(J38+K38-I38&lt;=0,0,IF(F38=1,(J38+K38-I38)/G38,ROUNDUP((J38+K38-I38)/E38,0)))</f>
        <v>0</v>
      </c>
      <c r="M38" s="53" t="n">
        <f aca="false">IF(H38="",0,IF(F38=1,L38/1000*H38,L38*H38))</f>
        <v>0</v>
      </c>
      <c r="N38" s="54" t="n">
        <f aca="false">SUMIFS(Détail!$F$2:$F$929,Détail!$E$2:$E$929,$B38,Détail!$D$2:$D$929,"Nicolas",Détail!$J$2:$J$929,2)</f>
        <v>200</v>
      </c>
      <c r="O38" s="54" t="n">
        <f aca="false">SUMIFS(Détail!$F$2:$F$929,Détail!$E$2:$E$929,$B38,Détail!$D$2:$D$929,"Aurélie",Détail!$J$2:$J$929,2)</f>
        <v>160</v>
      </c>
      <c r="P38" s="55" t="n">
        <f aca="false">IF(N38+O38-Z38&lt;=0,0,IF(F38=1,(N38+O38-Z38)/G38,ROUNDUP((N38+O38-Z38)/E38,0)))</f>
        <v>514.285714285714</v>
      </c>
      <c r="Q38" s="56" t="n">
        <f aca="false">IF(H38="",0,IF(F38=1,P38/1000*H38,P38*H38))</f>
        <v>4.62342857142857</v>
      </c>
      <c r="R38" s="57" t="n">
        <f aca="false">J38+N38</f>
        <v>200</v>
      </c>
      <c r="S38" s="57" t="n">
        <f aca="false">K38+O38</f>
        <v>160</v>
      </c>
      <c r="T38" s="58" t="n">
        <f aca="false">R38*Y38</f>
        <v>2.56857142857143</v>
      </c>
      <c r="U38" s="58" t="n">
        <f aca="false">S38*Y38</f>
        <v>2.05485714285714</v>
      </c>
      <c r="V38" s="57" t="n">
        <f aca="false">Z38+IF(F38=1,P38*G38,P38*E38)-(N38+O38)</f>
        <v>0</v>
      </c>
      <c r="W38" s="58" t="n">
        <f aca="false">V38*Y38</f>
        <v>0</v>
      </c>
      <c r="X38" s="45" t="s">
        <v>212</v>
      </c>
      <c r="Y38" s="59" t="n">
        <f aca="false">IF(H38="",0,IF(F38=1,H38/1000/G38,H38/E38))</f>
        <v>0.0128428571428571</v>
      </c>
      <c r="Z38" s="57" t="n">
        <f aca="false">I38+IF(F38=1,L38*G38,L38*E38)-(J38+K38)</f>
        <v>0</v>
      </c>
    </row>
    <row r="39" customFormat="false" ht="23.85" hidden="false" customHeight="false" outlineLevel="0" collapsed="false">
      <c r="A39" s="43" t="s">
        <v>206</v>
      </c>
      <c r="B39" s="27" t="s">
        <v>47</v>
      </c>
      <c r="C39" s="44" t="s">
        <v>15</v>
      </c>
      <c r="D39" s="45" t="s">
        <v>213</v>
      </c>
      <c r="E39" s="46" t="n">
        <v>400</v>
      </c>
      <c r="F39" s="47" t="n">
        <v>0</v>
      </c>
      <c r="G39" s="48" t="n">
        <v>1</v>
      </c>
      <c r="H39" s="49" t="n">
        <v>2.69</v>
      </c>
      <c r="I39" s="50" t="n">
        <v>0</v>
      </c>
      <c r="J39" s="51" t="n">
        <f aca="false">SUMIFS(Détail!$F$2:$F$929,Détail!$E$2:$E$929,$B39,Détail!$D$2:$D$929,"Nicolas",Détail!$J$2:$J$929,1)</f>
        <v>220</v>
      </c>
      <c r="K39" s="51" t="n">
        <f aca="false">SUMIFS(Détail!$F$2:$F$929,Détail!$E$2:$E$929,$B39,Détail!$D$2:$D$929,"Aurélie",Détail!$J$2:$J$929,1)</f>
        <v>180</v>
      </c>
      <c r="L39" s="52" t="n">
        <f aca="false">IF(J39+K39-I39&lt;=0,0,IF(F39=1,(J39+K39-I39)/G39,ROUNDUP((J39+K39-I39)/E39,0)))</f>
        <v>1</v>
      </c>
      <c r="M39" s="53" t="n">
        <f aca="false">IF(H39="",0,IF(F39=1,L39/1000*H39,L39*H39))</f>
        <v>2.69</v>
      </c>
      <c r="N39" s="54" t="n">
        <f aca="false">SUMIFS(Détail!$F$2:$F$929,Détail!$E$2:$E$929,$B39,Détail!$D$2:$D$929,"Nicolas",Détail!$J$2:$J$929,2)</f>
        <v>220</v>
      </c>
      <c r="O39" s="54" t="n">
        <f aca="false">SUMIFS(Détail!$F$2:$F$929,Détail!$E$2:$E$929,$B39,Détail!$D$2:$D$929,"Aurélie",Détail!$J$2:$J$929,2)</f>
        <v>180</v>
      </c>
      <c r="P39" s="55" t="n">
        <f aca="false">IF(N39+O39-Z39&lt;=0,0,IF(F39=1,(N39+O39-Z39)/G39,ROUNDUP((N39+O39-Z39)/E39,0)))</f>
        <v>1</v>
      </c>
      <c r="Q39" s="56" t="n">
        <f aca="false">IF(H39="",0,IF(F39=1,P39/1000*H39,P39*H39))</f>
        <v>2.69</v>
      </c>
      <c r="R39" s="57" t="n">
        <f aca="false">J39+N39</f>
        <v>440</v>
      </c>
      <c r="S39" s="57" t="n">
        <f aca="false">K39+O39</f>
        <v>360</v>
      </c>
      <c r="T39" s="58" t="n">
        <f aca="false">R39*Y39</f>
        <v>2.959</v>
      </c>
      <c r="U39" s="58" t="n">
        <f aca="false">S39*Y39</f>
        <v>2.421</v>
      </c>
      <c r="V39" s="57" t="n">
        <f aca="false">Z39+IF(F39=1,P39*G39,P39*E39)-(N39+O39)</f>
        <v>0</v>
      </c>
      <c r="W39" s="58" t="n">
        <f aca="false">V39*Y39</f>
        <v>0</v>
      </c>
      <c r="X39" s="45" t="s">
        <v>214</v>
      </c>
      <c r="Y39" s="59" t="n">
        <f aca="false">IF(H39="",0,IF(F39=1,H39/1000/G39,H39/E39))</f>
        <v>0.006725</v>
      </c>
      <c r="Z39" s="57" t="n">
        <f aca="false">I39+IF(F39=1,L39*G39,L39*E39)-(J39+K39)</f>
        <v>0</v>
      </c>
    </row>
    <row r="40" customFormat="false" ht="15" hidden="false" customHeight="false" outlineLevel="0" collapsed="false">
      <c r="A40" s="43" t="s">
        <v>215</v>
      </c>
      <c r="B40" s="27" t="s">
        <v>59</v>
      </c>
      <c r="C40" s="44" t="s">
        <v>15</v>
      </c>
      <c r="D40" s="45" t="s">
        <v>216</v>
      </c>
      <c r="E40" s="46" t="n">
        <v>500</v>
      </c>
      <c r="F40" s="47" t="n">
        <v>0</v>
      </c>
      <c r="G40" s="48" t="n">
        <v>1</v>
      </c>
      <c r="H40" s="49" t="n">
        <v>2.49</v>
      </c>
      <c r="I40" s="50" t="n">
        <v>0</v>
      </c>
      <c r="J40" s="51" t="n">
        <f aca="false">SUMIFS(Détail!$F$2:$F$929,Détail!$E$2:$E$929,$B40,Détail!$D$2:$D$929,"Nicolas",Détail!$J$2:$J$929,1)</f>
        <v>75</v>
      </c>
      <c r="K40" s="51" t="n">
        <f aca="false">SUMIFS(Détail!$F$2:$F$929,Détail!$E$2:$E$929,$B40,Détail!$D$2:$D$929,"Aurélie",Détail!$J$2:$J$929,1)</f>
        <v>55</v>
      </c>
      <c r="L40" s="52" t="n">
        <f aca="false">IF(J40+K40-I40&lt;=0,0,IF(F40=1,(J40+K40-I40)/G40,ROUNDUP((J40+K40-I40)/E40,0)))</f>
        <v>1</v>
      </c>
      <c r="M40" s="53" t="n">
        <f aca="false">IF(H40="",0,IF(F40=1,L40/1000*H40,L40*H40))</f>
        <v>2.49</v>
      </c>
      <c r="N40" s="54" t="n">
        <f aca="false">SUMIFS(Détail!$F$2:$F$929,Détail!$E$2:$E$929,$B40,Détail!$D$2:$D$929,"Nicolas",Détail!$J$2:$J$929,2)</f>
        <v>150</v>
      </c>
      <c r="O40" s="54" t="n">
        <f aca="false">SUMIFS(Détail!$F$2:$F$929,Détail!$E$2:$E$929,$B40,Détail!$D$2:$D$929,"Aurélie",Détail!$J$2:$J$929,2)</f>
        <v>110</v>
      </c>
      <c r="P40" s="55" t="n">
        <f aca="false">IF(N40+O40-Z40&lt;=0,0,IF(F40=1,(N40+O40-Z40)/G40,ROUNDUP((N40+O40-Z40)/E40,0)))</f>
        <v>0</v>
      </c>
      <c r="Q40" s="56" t="n">
        <f aca="false">IF(H40="",0,IF(F40=1,P40/1000*H40,P40*H40))</f>
        <v>0</v>
      </c>
      <c r="R40" s="57" t="n">
        <f aca="false">J40+N40</f>
        <v>225</v>
      </c>
      <c r="S40" s="57" t="n">
        <f aca="false">K40+O40</f>
        <v>165</v>
      </c>
      <c r="T40" s="58" t="n">
        <f aca="false">R40*Y40</f>
        <v>1.1205</v>
      </c>
      <c r="U40" s="58" t="n">
        <f aca="false">S40*Y40</f>
        <v>0.8217</v>
      </c>
      <c r="V40" s="57" t="n">
        <f aca="false">Z40+IF(F40=1,P40*G40,P40*E40)-(N40+O40)</f>
        <v>110</v>
      </c>
      <c r="W40" s="58" t="n">
        <f aca="false">V40*Y40</f>
        <v>0.5478</v>
      </c>
      <c r="X40" s="45" t="s">
        <v>217</v>
      </c>
      <c r="Y40" s="59" t="n">
        <f aca="false">IF(H40="",0,IF(F40=1,H40/1000/G40,H40/E40))</f>
        <v>0.00498</v>
      </c>
      <c r="Z40" s="57" t="n">
        <f aca="false">I40+IF(F40=1,L40*G40,L40*E40)-(J40+K40)</f>
        <v>370</v>
      </c>
    </row>
    <row r="41" customFormat="false" ht="15" hidden="false" customHeight="false" outlineLevel="0" collapsed="false">
      <c r="A41" s="43" t="s">
        <v>215</v>
      </c>
      <c r="B41" s="27" t="s">
        <v>39</v>
      </c>
      <c r="C41" s="44" t="s">
        <v>15</v>
      </c>
      <c r="D41" s="45" t="s">
        <v>218</v>
      </c>
      <c r="E41" s="46" t="n">
        <v>500</v>
      </c>
      <c r="F41" s="47" t="n">
        <v>0</v>
      </c>
      <c r="G41" s="48" t="n">
        <v>1</v>
      </c>
      <c r="H41" s="49" t="n">
        <v>5.26</v>
      </c>
      <c r="I41" s="50" t="n">
        <v>0</v>
      </c>
      <c r="J41" s="51" t="n">
        <f aca="false">SUMIFS(Détail!$F$2:$F$929,Détail!$E$2:$E$929,$B41,Détail!$D$2:$D$929,"Nicolas",Détail!$J$2:$J$929,1)</f>
        <v>20</v>
      </c>
      <c r="K41" s="51" t="n">
        <f aca="false">SUMIFS(Détail!$F$2:$F$929,Détail!$E$2:$E$929,$B41,Détail!$D$2:$D$929,"Aurélie",Détail!$J$2:$J$929,1)</f>
        <v>20</v>
      </c>
      <c r="L41" s="52" t="n">
        <f aca="false">IF(J41+K41-I41&lt;=0,0,IF(F41=1,(J41+K41-I41)/G41,ROUNDUP((J41+K41-I41)/E41,0)))</f>
        <v>1</v>
      </c>
      <c r="M41" s="53" t="n">
        <f aca="false">IF(H41="",0,IF(F41=1,L41/1000*H41,L41*H41))</f>
        <v>5.26</v>
      </c>
      <c r="N41" s="54" t="n">
        <f aca="false">SUMIFS(Détail!$F$2:$F$929,Détail!$E$2:$E$929,$B41,Détail!$D$2:$D$929,"Nicolas",Détail!$J$2:$J$929,2)</f>
        <v>120</v>
      </c>
      <c r="O41" s="54" t="n">
        <f aca="false">SUMIFS(Détail!$F$2:$F$929,Détail!$E$2:$E$929,$B41,Détail!$D$2:$D$929,"Aurélie",Détail!$J$2:$J$929,2)</f>
        <v>100</v>
      </c>
      <c r="P41" s="55" t="n">
        <f aca="false">IF(N41+O41-Z41&lt;=0,0,IF(F41=1,(N41+O41-Z41)/G41,ROUNDUP((N41+O41-Z41)/E41,0)))</f>
        <v>0</v>
      </c>
      <c r="Q41" s="56" t="n">
        <f aca="false">IF(H41="",0,IF(F41=1,P41/1000*H41,P41*H41))</f>
        <v>0</v>
      </c>
      <c r="R41" s="57" t="n">
        <f aca="false">J41+N41</f>
        <v>140</v>
      </c>
      <c r="S41" s="57" t="n">
        <f aca="false">K41+O41</f>
        <v>120</v>
      </c>
      <c r="T41" s="58" t="n">
        <f aca="false">R41*Y41</f>
        <v>1.4728</v>
      </c>
      <c r="U41" s="58" t="n">
        <f aca="false">S41*Y41</f>
        <v>1.2624</v>
      </c>
      <c r="V41" s="57" t="n">
        <f aca="false">Z41+IF(F41=1,P41*G41,P41*E41)-(N41+O41)</f>
        <v>240</v>
      </c>
      <c r="W41" s="58" t="n">
        <f aca="false">V41*Y41</f>
        <v>2.5248</v>
      </c>
      <c r="X41" s="45"/>
      <c r="Y41" s="59" t="n">
        <f aca="false">IF(H41="",0,IF(F41=1,H41/1000/G41,H41/E41))</f>
        <v>0.01052</v>
      </c>
      <c r="Z41" s="57" t="n">
        <f aca="false">I41+IF(F41=1,L41*G41,L41*E41)-(J41+K41)</f>
        <v>460</v>
      </c>
    </row>
    <row r="42" customFormat="false" ht="15" hidden="false" customHeight="false" outlineLevel="0" collapsed="false">
      <c r="A42" s="43" t="s">
        <v>219</v>
      </c>
      <c r="B42" s="27" t="s">
        <v>220</v>
      </c>
      <c r="C42" s="44" t="s">
        <v>15</v>
      </c>
      <c r="D42" s="45" t="s">
        <v>159</v>
      </c>
      <c r="E42" s="46" t="n">
        <v>1000</v>
      </c>
      <c r="F42" s="47" t="n">
        <v>0</v>
      </c>
      <c r="G42" s="48" t="n">
        <v>1</v>
      </c>
      <c r="H42" s="49" t="n">
        <v>16</v>
      </c>
      <c r="I42" s="50" t="n">
        <v>0</v>
      </c>
      <c r="J42" s="50" t="n">
        <v>238</v>
      </c>
      <c r="K42" s="50" t="n">
        <v>0</v>
      </c>
      <c r="L42" s="52" t="n">
        <f aca="false">IF(J42+K42-I42&lt;=0,0,IF(F42=1,(J42+K42-I42)/G42,ROUNDUP((J42+K42-I42)/E42,0)))</f>
        <v>1</v>
      </c>
      <c r="M42" s="53" t="n">
        <f aca="false">IF(H42="",0,IF(F42=1,L42/1000*H42,L42*H42))</f>
        <v>16</v>
      </c>
      <c r="N42" s="50" t="n">
        <v>762</v>
      </c>
      <c r="O42" s="50" t="n">
        <v>0</v>
      </c>
      <c r="P42" s="55" t="n">
        <f aca="false">IF(N42+O42-Z42&lt;=0,0,IF(F42=1,(N42+O42-Z42)/G42,ROUNDUP((N42+O42-Z42)/E42,0)))</f>
        <v>0</v>
      </c>
      <c r="Q42" s="56" t="n">
        <f aca="false">IF(H42="",0,IF(F42=1,P42/1000*H42,P42*H42))</f>
        <v>0</v>
      </c>
      <c r="R42" s="57" t="n">
        <f aca="false">J42+N42</f>
        <v>1000</v>
      </c>
      <c r="S42" s="57" t="n">
        <f aca="false">K42+O42</f>
        <v>0</v>
      </c>
      <c r="T42" s="58" t="n">
        <f aca="false">R42*Y42</f>
        <v>16</v>
      </c>
      <c r="U42" s="58" t="n">
        <f aca="false">S42*Y42</f>
        <v>0</v>
      </c>
      <c r="V42" s="57" t="n">
        <f aca="false">Z42+IF(F42=1,P42*G42,P42*E42)-(N42+O42)</f>
        <v>0</v>
      </c>
      <c r="W42" s="58" t="n">
        <f aca="false">V42*Y42</f>
        <v>0</v>
      </c>
      <c r="X42" s="45" t="s">
        <v>221</v>
      </c>
      <c r="Y42" s="59" t="n">
        <f aca="false">IF(H42="",0,IF(F42=1,H42/1000/G42,H42/E42))</f>
        <v>0.016</v>
      </c>
      <c r="Z42" s="57" t="n">
        <f aca="false">I42+IF(F42=1,L42*G42,L42*E42)-(J42+K42)</f>
        <v>762</v>
      </c>
    </row>
    <row r="43" customFormat="false" ht="15" hidden="false" customHeight="false" outlineLevel="0" collapsed="false">
      <c r="A43" s="43" t="s">
        <v>219</v>
      </c>
      <c r="B43" s="27" t="s">
        <v>222</v>
      </c>
      <c r="C43" s="44" t="s">
        <v>223</v>
      </c>
      <c r="D43" s="45" t="s">
        <v>224</v>
      </c>
      <c r="E43" s="46" t="n">
        <v>5</v>
      </c>
      <c r="F43" s="47" t="n">
        <v>0</v>
      </c>
      <c r="G43" s="48" t="n">
        <v>1</v>
      </c>
      <c r="H43" s="49" t="n">
        <v>1.54</v>
      </c>
      <c r="I43" s="50" t="n">
        <v>0</v>
      </c>
      <c r="J43" s="50" t="n">
        <v>10</v>
      </c>
      <c r="K43" s="50" t="n">
        <v>10</v>
      </c>
      <c r="L43" s="52" t="n">
        <f aca="false">IF(J43+K43-I43&lt;=0,0,IF(F43=1,(J43+K43-I43)/G43,ROUNDUP((J43+K43-I43)/E43,0)))</f>
        <v>4</v>
      </c>
      <c r="M43" s="53" t="n">
        <f aca="false">IF(H43="",0,IF(F43=1,L43/1000*H43,L43*H43))</f>
        <v>6.16</v>
      </c>
      <c r="N43" s="50" t="n">
        <v>32</v>
      </c>
      <c r="O43" s="50" t="n">
        <v>32</v>
      </c>
      <c r="P43" s="55" t="n">
        <f aca="false">IF(N43+O43-Z43&lt;=0,0,IF(F43=1,(N43+O43-Z43)/G43,ROUNDUP((N43+O43-Z43)/E43,0)))</f>
        <v>13</v>
      </c>
      <c r="Q43" s="56" t="n">
        <f aca="false">IF(H43="",0,IF(F43=1,P43/1000*H43,P43*H43))</f>
        <v>20.02</v>
      </c>
      <c r="R43" s="57" t="n">
        <f aca="false">J43+N43</f>
        <v>42</v>
      </c>
      <c r="S43" s="57" t="n">
        <f aca="false">K43+O43</f>
        <v>42</v>
      </c>
      <c r="T43" s="58" t="n">
        <f aca="false">R43*Y43</f>
        <v>12.936</v>
      </c>
      <c r="U43" s="58" t="n">
        <f aca="false">S43*Y43</f>
        <v>12.936</v>
      </c>
      <c r="V43" s="57" t="n">
        <f aca="false">Z43+IF(F43=1,P43*G43,P43*E43)-(N43+O43)</f>
        <v>1</v>
      </c>
      <c r="W43" s="58" t="n">
        <f aca="false">V43*Y43</f>
        <v>0.308</v>
      </c>
      <c r="X43" s="45" t="s">
        <v>225</v>
      </c>
      <c r="Y43" s="59" t="n">
        <f aca="false">IF(H43="",0,IF(F43=1,H43/1000/G43,H43/E43))</f>
        <v>0.308</v>
      </c>
      <c r="Z43" s="57" t="n">
        <f aca="false">I43+IF(F43=1,L43*G43,L43*E43)-(J43+K43)</f>
        <v>0</v>
      </c>
    </row>
    <row r="44" customFormat="false" ht="15" hidden="false" customHeight="false" outlineLevel="0" collapsed="false">
      <c r="A44" s="43" t="s">
        <v>219</v>
      </c>
      <c r="B44" s="27" t="s">
        <v>226</v>
      </c>
      <c r="C44" s="44" t="s">
        <v>171</v>
      </c>
      <c r="D44" s="45" t="s">
        <v>227</v>
      </c>
      <c r="E44" s="46" t="n">
        <v>1</v>
      </c>
      <c r="F44" s="47" t="n">
        <v>0</v>
      </c>
      <c r="G44" s="48" t="n">
        <v>1</v>
      </c>
      <c r="H44" s="49"/>
      <c r="I44" s="50" t="n">
        <v>0</v>
      </c>
      <c r="J44" s="50" t="n">
        <v>1</v>
      </c>
      <c r="K44" s="50" t="n">
        <v>1</v>
      </c>
      <c r="L44" s="52" t="n">
        <f aca="false">IF(J44+K44-I44&lt;=0,0,IF(F44=1,(J44+K44-I44)/G44,ROUNDUP((J44+K44-I44)/E44,0)))</f>
        <v>2</v>
      </c>
      <c r="M44" s="53" t="n">
        <f aca="false">IF(H44="",0,IF(F44=1,L44/1000*H44,L44*H44))</f>
        <v>0</v>
      </c>
      <c r="N44" s="50" t="n">
        <v>2</v>
      </c>
      <c r="O44" s="50" t="n">
        <v>2</v>
      </c>
      <c r="P44" s="55" t="n">
        <f aca="false">IF(N44+O44-Z44&lt;=0,0,IF(F44=1,(N44+O44-Z44)/G44,ROUNDUP((N44+O44-Z44)/E44,0)))</f>
        <v>4</v>
      </c>
      <c r="Q44" s="56" t="n">
        <f aca="false">IF(H44="",0,IF(F44=1,P44/1000*H44,P44*H44))</f>
        <v>0</v>
      </c>
      <c r="R44" s="57" t="n">
        <f aca="false">J44+N44</f>
        <v>3</v>
      </c>
      <c r="S44" s="57" t="n">
        <f aca="false">K44+O44</f>
        <v>3</v>
      </c>
      <c r="T44" s="58" t="n">
        <f aca="false">R44*Y44</f>
        <v>0</v>
      </c>
      <c r="U44" s="58" t="n">
        <f aca="false">S44*Y44</f>
        <v>0</v>
      </c>
      <c r="V44" s="57" t="n">
        <f aca="false">Z44+IF(F44=1,P44*G44,P44*E44)-(N44+O44)</f>
        <v>0</v>
      </c>
      <c r="W44" s="58" t="n">
        <f aca="false">V44*Y44</f>
        <v>0</v>
      </c>
      <c r="X44" s="45" t="s">
        <v>228</v>
      </c>
      <c r="Y44" s="59" t="n">
        <f aca="false">IF(H44="",0,IF(F44=1,H44/1000/G44,H44/E44))</f>
        <v>0</v>
      </c>
      <c r="Z44" s="57" t="n">
        <f aca="false">I44+IF(F44=1,L44*G44,L44*E44)-(J44+K44)</f>
        <v>0</v>
      </c>
    </row>
    <row r="45" customFormat="false" ht="15" hidden="false" customHeight="false" outlineLevel="0" collapsed="false">
      <c r="A45" s="43" t="s">
        <v>219</v>
      </c>
      <c r="B45" s="27" t="s">
        <v>229</v>
      </c>
      <c r="C45" s="44" t="s">
        <v>171</v>
      </c>
      <c r="D45" s="45" t="s">
        <v>230</v>
      </c>
      <c r="E45" s="46" t="n">
        <v>1</v>
      </c>
      <c r="F45" s="47" t="n">
        <v>0</v>
      </c>
      <c r="G45" s="48" t="n">
        <v>1</v>
      </c>
      <c r="H45" s="49"/>
      <c r="I45" s="50" t="n">
        <v>0</v>
      </c>
      <c r="J45" s="50" t="n">
        <v>0.5</v>
      </c>
      <c r="K45" s="50" t="n">
        <v>0.5</v>
      </c>
      <c r="L45" s="52" t="n">
        <f aca="false">IF(J45+K45-I45&lt;=0,0,IF(F45=1,(J45+K45-I45)/G45,ROUNDUP((J45+K45-I45)/E45,0)))</f>
        <v>1</v>
      </c>
      <c r="M45" s="53" t="n">
        <f aca="false">IF(H45="",0,IF(F45=1,L45/1000*H45,L45*H45))</f>
        <v>0</v>
      </c>
      <c r="N45" s="50" t="n">
        <v>0</v>
      </c>
      <c r="O45" s="50" t="n">
        <v>0</v>
      </c>
      <c r="P45" s="55" t="n">
        <f aca="false">IF(N45+O45-Z45&lt;=0,0,IF(F45=1,(N45+O45-Z45)/G45,ROUNDUP((N45+O45-Z45)/E45,0)))</f>
        <v>0</v>
      </c>
      <c r="Q45" s="56" t="n">
        <f aca="false">IF(H45="",0,IF(F45=1,P45/1000*H45,P45*H45))</f>
        <v>0</v>
      </c>
      <c r="R45" s="57" t="n">
        <f aca="false">J45+N45</f>
        <v>0.5</v>
      </c>
      <c r="S45" s="57" t="n">
        <f aca="false">K45+O45</f>
        <v>0.5</v>
      </c>
      <c r="T45" s="58" t="n">
        <f aca="false">R45*Y45</f>
        <v>0</v>
      </c>
      <c r="U45" s="58" t="n">
        <f aca="false">S45*Y45</f>
        <v>0</v>
      </c>
      <c r="V45" s="57" t="n">
        <f aca="false">Z45+IF(F45=1,P45*G45,P45*E45)-(N45+O45)</f>
        <v>0</v>
      </c>
      <c r="W45" s="58" t="n">
        <f aca="false">V45*Y45</f>
        <v>0</v>
      </c>
      <c r="X45" s="45" t="s">
        <v>231</v>
      </c>
      <c r="Y45" s="59" t="n">
        <f aca="false">IF(H45="",0,IF(F45=1,H45/1000/G45,H45/E45))</f>
        <v>0</v>
      </c>
      <c r="Z45" s="57" t="n">
        <f aca="false">I45+IF(F45=1,L45*G45,L45*E45)-(J45+K45)</f>
        <v>0</v>
      </c>
    </row>
    <row r="46" customFormat="false" ht="15" hidden="false" customHeight="false" outlineLevel="0" collapsed="false">
      <c r="A46" s="43" t="s">
        <v>219</v>
      </c>
      <c r="B46" s="27" t="s">
        <v>232</v>
      </c>
      <c r="C46" s="44" t="s">
        <v>171</v>
      </c>
      <c r="D46" s="45" t="s">
        <v>233</v>
      </c>
      <c r="E46" s="46" t="n">
        <v>1</v>
      </c>
      <c r="F46" s="47" t="n">
        <v>0</v>
      </c>
      <c r="G46" s="48" t="n">
        <v>1</v>
      </c>
      <c r="H46" s="49"/>
      <c r="I46" s="50" t="n">
        <v>0</v>
      </c>
      <c r="J46" s="50" t="n">
        <v>0.5</v>
      </c>
      <c r="K46" s="50" t="n">
        <v>0.5</v>
      </c>
      <c r="L46" s="52" t="n">
        <f aca="false">IF(J46+K46-I46&lt;=0,0,IF(F46=1,(J46+K46-I46)/G46,ROUNDUP((J46+K46-I46)/E46,0)))</f>
        <v>1</v>
      </c>
      <c r="M46" s="53" t="n">
        <f aca="false">IF(H46="",0,IF(F46=1,L46/1000*H46,L46*H46))</f>
        <v>0</v>
      </c>
      <c r="N46" s="50" t="n">
        <v>0</v>
      </c>
      <c r="O46" s="50" t="n">
        <v>0</v>
      </c>
      <c r="P46" s="55" t="n">
        <f aca="false">IF(N46+O46-Z46&lt;=0,0,IF(F46=1,(N46+O46-Z46)/G46,ROUNDUP((N46+O46-Z46)/E46,0)))</f>
        <v>0</v>
      </c>
      <c r="Q46" s="56" t="n">
        <f aca="false">IF(H46="",0,IF(F46=1,P46/1000*H46,P46*H46))</f>
        <v>0</v>
      </c>
      <c r="R46" s="57" t="n">
        <f aca="false">J46+N46</f>
        <v>0.5</v>
      </c>
      <c r="S46" s="57" t="n">
        <f aca="false">K46+O46</f>
        <v>0.5</v>
      </c>
      <c r="T46" s="58" t="n">
        <f aca="false">R46*Y46</f>
        <v>0</v>
      </c>
      <c r="U46" s="58" t="n">
        <f aca="false">S46*Y46</f>
        <v>0</v>
      </c>
      <c r="V46" s="57" t="n">
        <f aca="false">Z46+IF(F46=1,P46*G46,P46*E46)-(N46+O46)</f>
        <v>0</v>
      </c>
      <c r="W46" s="58" t="n">
        <f aca="false">V46*Y46</f>
        <v>0</v>
      </c>
      <c r="X46" s="45" t="s">
        <v>231</v>
      </c>
      <c r="Y46" s="59" t="n">
        <f aca="false">IF(H46="",0,IF(F46=1,H46/1000/G46,H46/E46))</f>
        <v>0</v>
      </c>
      <c r="Z46" s="57" t="n">
        <f aca="false">I46+IF(F46=1,L46*G46,L46*E46)-(J46+K46)</f>
        <v>0</v>
      </c>
    </row>
    <row r="47" customFormat="false" ht="15" hidden="false" customHeight="false" outlineLevel="0" collapsed="false">
      <c r="A47" s="43" t="s">
        <v>219</v>
      </c>
      <c r="B47" s="27" t="s">
        <v>234</v>
      </c>
      <c r="C47" s="44" t="s">
        <v>171</v>
      </c>
      <c r="D47" s="45" t="s">
        <v>230</v>
      </c>
      <c r="E47" s="46" t="n">
        <v>1</v>
      </c>
      <c r="F47" s="47" t="n">
        <v>0</v>
      </c>
      <c r="G47" s="48" t="n">
        <v>1</v>
      </c>
      <c r="H47" s="49"/>
      <c r="I47" s="50" t="n">
        <v>0</v>
      </c>
      <c r="J47" s="50" t="n">
        <v>0.5</v>
      </c>
      <c r="K47" s="50" t="n">
        <v>0.5</v>
      </c>
      <c r="L47" s="52" t="n">
        <f aca="false">IF(J47+K47-I47&lt;=0,0,IF(F47=1,(J47+K47-I47)/G47,ROUNDUP((J47+K47-I47)/E47,0)))</f>
        <v>1</v>
      </c>
      <c r="M47" s="53" t="n">
        <f aca="false">IF(H47="",0,IF(F47=1,L47/1000*H47,L47*H47))</f>
        <v>0</v>
      </c>
      <c r="N47" s="50" t="n">
        <v>0</v>
      </c>
      <c r="O47" s="50" t="n">
        <v>0</v>
      </c>
      <c r="P47" s="55" t="n">
        <f aca="false">IF(N47+O47-Z47&lt;=0,0,IF(F47=1,(N47+O47-Z47)/G47,ROUNDUP((N47+O47-Z47)/E47,0)))</f>
        <v>0</v>
      </c>
      <c r="Q47" s="56" t="n">
        <f aca="false">IF(H47="",0,IF(F47=1,P47/1000*H47,P47*H47))</f>
        <v>0</v>
      </c>
      <c r="R47" s="57" t="n">
        <f aca="false">J47+N47</f>
        <v>0.5</v>
      </c>
      <c r="S47" s="57" t="n">
        <f aca="false">K47+O47</f>
        <v>0.5</v>
      </c>
      <c r="T47" s="58" t="n">
        <f aca="false">R47*Y47</f>
        <v>0</v>
      </c>
      <c r="U47" s="58" t="n">
        <f aca="false">S47*Y47</f>
        <v>0</v>
      </c>
      <c r="V47" s="57" t="n">
        <f aca="false">Z47+IF(F47=1,P47*G47,P47*E47)-(N47+O47)</f>
        <v>0</v>
      </c>
      <c r="W47" s="58" t="n">
        <f aca="false">V47*Y47</f>
        <v>0</v>
      </c>
      <c r="X47" s="45" t="s">
        <v>235</v>
      </c>
      <c r="Y47" s="59" t="n">
        <f aca="false">IF(H47="",0,IF(F47=1,H47/1000/G47,H47/E47))</f>
        <v>0</v>
      </c>
      <c r="Z47" s="57" t="n">
        <f aca="false">I47+IF(F47=1,L47*G47,L47*E47)-(J47+K47)</f>
        <v>0</v>
      </c>
    </row>
    <row r="48" customFormat="false" ht="15" hidden="false" customHeight="false" outlineLevel="0" collapsed="false">
      <c r="A48" s="43" t="s">
        <v>219</v>
      </c>
      <c r="B48" s="27" t="s">
        <v>236</v>
      </c>
      <c r="C48" s="44" t="s">
        <v>171</v>
      </c>
      <c r="D48" s="45" t="s">
        <v>237</v>
      </c>
      <c r="E48" s="46" t="n">
        <v>1</v>
      </c>
      <c r="F48" s="47" t="n">
        <v>0</v>
      </c>
      <c r="G48" s="48" t="n">
        <v>1</v>
      </c>
      <c r="H48" s="49"/>
      <c r="I48" s="50" t="n">
        <v>0</v>
      </c>
      <c r="J48" s="50" t="n">
        <v>0.5</v>
      </c>
      <c r="K48" s="50" t="n">
        <v>0.5</v>
      </c>
      <c r="L48" s="52" t="n">
        <f aca="false">IF(J48+K48-I48&lt;=0,0,IF(F48=1,(J48+K48-I48)/G48,ROUNDUP((J48+K48-I48)/E48,0)))</f>
        <v>1</v>
      </c>
      <c r="M48" s="53" t="n">
        <f aca="false">IF(H48="",0,IF(F48=1,L48/1000*H48,L48*H48))</f>
        <v>0</v>
      </c>
      <c r="N48" s="50" t="n">
        <v>0</v>
      </c>
      <c r="O48" s="50" t="n">
        <v>0</v>
      </c>
      <c r="P48" s="55" t="n">
        <f aca="false">IF(N48+O48-Z48&lt;=0,0,IF(F48=1,(N48+O48-Z48)/G48,ROUNDUP((N48+O48-Z48)/E48,0)))</f>
        <v>0</v>
      </c>
      <c r="Q48" s="56" t="n">
        <f aca="false">IF(H48="",0,IF(F48=1,P48/1000*H48,P48*H48))</f>
        <v>0</v>
      </c>
      <c r="R48" s="57" t="n">
        <f aca="false">J48+N48</f>
        <v>0.5</v>
      </c>
      <c r="S48" s="57" t="n">
        <f aca="false">K48+O48</f>
        <v>0.5</v>
      </c>
      <c r="T48" s="58" t="n">
        <f aca="false">R48*Y48</f>
        <v>0</v>
      </c>
      <c r="U48" s="58" t="n">
        <f aca="false">S48*Y48</f>
        <v>0</v>
      </c>
      <c r="V48" s="57" t="n">
        <f aca="false">Z48+IF(F48=1,P48*G48,P48*E48)-(N48+O48)</f>
        <v>0</v>
      </c>
      <c r="W48" s="58" t="n">
        <f aca="false">V48*Y48</f>
        <v>0</v>
      </c>
      <c r="X48" s="45" t="s">
        <v>231</v>
      </c>
      <c r="Y48" s="59" t="n">
        <f aca="false">IF(H48="",0,IF(F48=1,H48/1000/G48,H48/E48))</f>
        <v>0</v>
      </c>
      <c r="Z48" s="57" t="n">
        <f aca="false">I48+IF(F48=1,L48*G48,L48*E48)-(J48+K48)</f>
        <v>0</v>
      </c>
    </row>
    <row r="49" customFormat="false" ht="15" hidden="false" customHeight="false" outlineLevel="0" collapsed="false">
      <c r="A49" s="43" t="s">
        <v>219</v>
      </c>
      <c r="B49" s="27" t="s">
        <v>238</v>
      </c>
      <c r="C49" s="44" t="s">
        <v>171</v>
      </c>
      <c r="D49" s="45" t="s">
        <v>239</v>
      </c>
      <c r="E49" s="46" t="n">
        <v>1</v>
      </c>
      <c r="F49" s="47" t="n">
        <v>0</v>
      </c>
      <c r="G49" s="48" t="n">
        <v>1</v>
      </c>
      <c r="H49" s="49"/>
      <c r="I49" s="50" t="n">
        <v>0</v>
      </c>
      <c r="J49" s="50" t="n">
        <v>0</v>
      </c>
      <c r="K49" s="50" t="n">
        <v>0</v>
      </c>
      <c r="L49" s="52" t="n">
        <f aca="false">IF(J49+K49-I49&lt;=0,0,IF(F49=1,(J49+K49-I49)/G49,ROUNDUP((J49+K49-I49)/E49,0)))</f>
        <v>0</v>
      </c>
      <c r="M49" s="53" t="n">
        <f aca="false">IF(H49="",0,IF(F49=1,L49/1000*H49,L49*H49))</f>
        <v>0</v>
      </c>
      <c r="N49" s="50" t="n">
        <v>0.5</v>
      </c>
      <c r="O49" s="50" t="n">
        <v>0.5</v>
      </c>
      <c r="P49" s="55" t="n">
        <f aca="false">IF(N49+O49-Z49&lt;=0,0,IF(F49=1,(N49+O49-Z49)/G49,ROUNDUP((N49+O49-Z49)/E49,0)))</f>
        <v>1</v>
      </c>
      <c r="Q49" s="56" t="n">
        <f aca="false">IF(H49="",0,IF(F49=1,P49/1000*H49,P49*H49))</f>
        <v>0</v>
      </c>
      <c r="R49" s="57" t="n">
        <f aca="false">J49+N49</f>
        <v>0.5</v>
      </c>
      <c r="S49" s="57" t="n">
        <f aca="false">K49+O49</f>
        <v>0.5</v>
      </c>
      <c r="T49" s="58" t="n">
        <f aca="false">R49*Y49</f>
        <v>0</v>
      </c>
      <c r="U49" s="58" t="n">
        <f aca="false">S49*Y49</f>
        <v>0</v>
      </c>
      <c r="V49" s="57" t="n">
        <f aca="false">Z49+IF(F49=1,P49*G49,P49*E49)-(N49+O49)</f>
        <v>0</v>
      </c>
      <c r="W49" s="58" t="n">
        <f aca="false">V49*Y49</f>
        <v>0</v>
      </c>
      <c r="X49" s="45" t="s">
        <v>240</v>
      </c>
      <c r="Y49" s="59" t="n">
        <f aca="false">IF(H49="",0,IF(F49=1,H49/1000/G49,H49/E49))</f>
        <v>0</v>
      </c>
      <c r="Z49" s="57" t="n">
        <f aca="false">I49+IF(F49=1,L49*G49,L49*E49)-(J49+K49)</f>
        <v>0</v>
      </c>
    </row>
    <row r="50" customFormat="false" ht="15" hidden="false" customHeight="false" outlineLevel="0" collapsed="false">
      <c r="A50" s="43" t="s">
        <v>241</v>
      </c>
      <c r="B50" s="27" t="s">
        <v>42</v>
      </c>
      <c r="C50" s="44" t="s">
        <v>15</v>
      </c>
      <c r="D50" s="45" t="s">
        <v>242</v>
      </c>
      <c r="E50" s="46" t="n">
        <v>530</v>
      </c>
      <c r="F50" s="47" t="n">
        <v>0</v>
      </c>
      <c r="G50" s="48" t="n">
        <v>1</v>
      </c>
      <c r="H50" s="49" t="n">
        <v>0</v>
      </c>
      <c r="I50" s="50" t="n">
        <v>1590</v>
      </c>
      <c r="J50" s="51" t="n">
        <f aca="false">SUMIFS(Détail!$F$2:$F$929,Détail!$E$2:$E$929,$B50,Détail!$D$2:$D$929,"Nicolas",Détail!$J$2:$J$929,1)</f>
        <v>290</v>
      </c>
      <c r="K50" s="51" t="n">
        <f aca="false">SUMIFS(Détail!$F$2:$F$929,Détail!$E$2:$E$929,$B50,Détail!$D$2:$D$929,"Aurélie",Détail!$J$2:$J$929,1)</f>
        <v>240</v>
      </c>
      <c r="L50" s="52" t="n">
        <f aca="false">IF(J50+K50-I50&lt;=0,0,IF(F50=1,(J50+K50-I50)/G50,ROUNDUP((J50+K50-I50)/E50,0)))</f>
        <v>0</v>
      </c>
      <c r="M50" s="53" t="n">
        <f aca="false">IF(H50="",0,IF(F50=1,L50/1000*H50,L50*H50))</f>
        <v>0</v>
      </c>
      <c r="N50" s="54" t="n">
        <f aca="false">SUMIFS(Détail!$F$2:$F$929,Détail!$E$2:$E$929,$B50,Détail!$D$2:$D$929,"Nicolas",Détail!$J$2:$J$929,2)</f>
        <v>580</v>
      </c>
      <c r="O50" s="54" t="n">
        <f aca="false">SUMIFS(Détail!$F$2:$F$929,Détail!$E$2:$E$929,$B50,Détail!$D$2:$D$929,"Aurélie",Détail!$J$2:$J$929,2)</f>
        <v>480</v>
      </c>
      <c r="P50" s="55" t="n">
        <f aca="false">IF(N50+O50-Z50&lt;=0,0,IF(F50=1,(N50+O50-Z50)/G50,ROUNDUP((N50+O50-Z50)/E50,0)))</f>
        <v>0</v>
      </c>
      <c r="Q50" s="56" t="n">
        <f aca="false">IF(H50="",0,IF(F50=1,P50/1000*H50,P50*H50))</f>
        <v>0</v>
      </c>
      <c r="R50" s="57" t="n">
        <f aca="false">J50+N50</f>
        <v>870</v>
      </c>
      <c r="S50" s="57" t="n">
        <f aca="false">K50+O50</f>
        <v>720</v>
      </c>
      <c r="T50" s="58" t="n">
        <f aca="false">R50*Y50</f>
        <v>0</v>
      </c>
      <c r="U50" s="58" t="n">
        <f aca="false">S50*Y50</f>
        <v>0</v>
      </c>
      <c r="V50" s="57" t="n">
        <f aca="false">Z50+IF(F50=1,P50*G50,P50*E50)-(N50+O50)</f>
        <v>0</v>
      </c>
      <c r="W50" s="58" t="n">
        <f aca="false">V50*Y50</f>
        <v>0</v>
      </c>
      <c r="X50" s="45" t="s">
        <v>243</v>
      </c>
      <c r="Y50" s="59" t="n">
        <f aca="false">IF(H50="",0,IF(F50=1,H50/1000/G50,H50/E50))</f>
        <v>0</v>
      </c>
      <c r="Z50" s="57" t="n">
        <f aca="false">I50+IF(F50=1,L50*G50,L50*E50)-(J50+K50)</f>
        <v>1060</v>
      </c>
    </row>
    <row r="51" customFormat="false" ht="15" hidden="false" customHeight="false" outlineLevel="0" collapsed="false">
      <c r="A51" s="43" t="s">
        <v>241</v>
      </c>
      <c r="B51" s="27" t="s">
        <v>28</v>
      </c>
      <c r="C51" s="44" t="s">
        <v>15</v>
      </c>
      <c r="D51" s="45" t="s">
        <v>244</v>
      </c>
      <c r="E51" s="46" t="n">
        <v>1000</v>
      </c>
      <c r="F51" s="47" t="n">
        <v>0</v>
      </c>
      <c r="G51" s="48" t="n">
        <v>1</v>
      </c>
      <c r="H51" s="49" t="n">
        <v>0</v>
      </c>
      <c r="I51" s="50" t="n">
        <v>1000</v>
      </c>
      <c r="J51" s="51" t="n">
        <f aca="false">SUMIFS(Détail!$F$2:$F$929,Détail!$E$2:$E$929,$B51,Détail!$D$2:$D$929,"Nicolas",Détail!$J$2:$J$929,1)</f>
        <v>92</v>
      </c>
      <c r="K51" s="51" t="n">
        <f aca="false">SUMIFS(Détail!$F$2:$F$929,Détail!$E$2:$E$929,$B51,Détail!$D$2:$D$929,"Aurélie",Détail!$J$2:$J$929,1)</f>
        <v>65</v>
      </c>
      <c r="L51" s="52" t="n">
        <f aca="false">IF(J51+K51-I51&lt;=0,0,IF(F51=1,(J51+K51-I51)/G51,ROUNDUP((J51+K51-I51)/E51,0)))</f>
        <v>0</v>
      </c>
      <c r="M51" s="53" t="n">
        <f aca="false">IF(H51="",0,IF(F51=1,L51/1000*H51,L51*H51))</f>
        <v>0</v>
      </c>
      <c r="N51" s="54" t="n">
        <f aca="false">SUMIFS(Détail!$F$2:$F$929,Détail!$E$2:$E$929,$B51,Détail!$D$2:$D$929,"Nicolas",Détail!$J$2:$J$929,2)</f>
        <v>301</v>
      </c>
      <c r="O51" s="54" t="n">
        <f aca="false">SUMIFS(Détail!$F$2:$F$929,Détail!$E$2:$E$929,$B51,Détail!$D$2:$D$929,"Aurélie",Détail!$J$2:$J$929,2)</f>
        <v>211</v>
      </c>
      <c r="P51" s="55" t="n">
        <f aca="false">IF(N51+O51-Z51&lt;=0,0,IF(F51=1,(N51+O51-Z51)/G51,ROUNDUP((N51+O51-Z51)/E51,0)))</f>
        <v>0</v>
      </c>
      <c r="Q51" s="56" t="n">
        <f aca="false">IF(H51="",0,IF(F51=1,P51/1000*H51,P51*H51))</f>
        <v>0</v>
      </c>
      <c r="R51" s="57" t="n">
        <f aca="false">J51+N51</f>
        <v>393</v>
      </c>
      <c r="S51" s="57" t="n">
        <f aca="false">K51+O51</f>
        <v>276</v>
      </c>
      <c r="T51" s="58" t="n">
        <f aca="false">R51*Y51</f>
        <v>0</v>
      </c>
      <c r="U51" s="58" t="n">
        <f aca="false">S51*Y51</f>
        <v>0</v>
      </c>
      <c r="V51" s="57" t="n">
        <f aca="false">Z51+IF(F51=1,P51*G51,P51*E51)-(N51+O51)</f>
        <v>331</v>
      </c>
      <c r="W51" s="58" t="n">
        <f aca="false">V51*Y51</f>
        <v>0</v>
      </c>
      <c r="X51" s="45" t="s">
        <v>245</v>
      </c>
      <c r="Y51" s="59" t="n">
        <f aca="false">IF(H51="",0,IF(F51=1,H51/1000/G51,H51/E51))</f>
        <v>0</v>
      </c>
      <c r="Z51" s="57" t="n">
        <f aca="false">I51+IF(F51=1,L51*G51,L51*E51)-(J51+K51)</f>
        <v>843</v>
      </c>
    </row>
    <row r="52" customFormat="false" ht="15" hidden="false" customHeight="false" outlineLevel="0" collapsed="false">
      <c r="A52" s="43" t="s">
        <v>241</v>
      </c>
      <c r="B52" s="27" t="s">
        <v>81</v>
      </c>
      <c r="C52" s="44" t="s">
        <v>15</v>
      </c>
      <c r="D52" s="45" t="s">
        <v>244</v>
      </c>
      <c r="E52" s="46" t="n">
        <v>1000</v>
      </c>
      <c r="F52" s="47" t="n">
        <v>0</v>
      </c>
      <c r="G52" s="48" t="n">
        <v>1</v>
      </c>
      <c r="H52" s="49" t="n">
        <v>0</v>
      </c>
      <c r="I52" s="50" t="n">
        <v>500</v>
      </c>
      <c r="J52" s="51" t="n">
        <f aca="false">SUMIFS(Détail!$F$2:$F$929,Détail!$E$2:$E$929,$B52,Détail!$D$2:$D$929,"Nicolas",Détail!$J$2:$J$929,1)</f>
        <v>0</v>
      </c>
      <c r="K52" s="51" t="n">
        <f aca="false">SUMIFS(Détail!$F$2:$F$929,Détail!$E$2:$E$929,$B52,Détail!$D$2:$D$929,"Aurélie",Détail!$J$2:$J$929,1)</f>
        <v>0</v>
      </c>
      <c r="L52" s="52" t="n">
        <f aca="false">IF(J52+K52-I52&lt;=0,0,IF(F52=1,(J52+K52-I52)/G52,ROUNDUP((J52+K52-I52)/E52,0)))</f>
        <v>0</v>
      </c>
      <c r="M52" s="53" t="n">
        <f aca="false">IF(H52="",0,IF(F52=1,L52/1000*H52,L52*H52))</f>
        <v>0</v>
      </c>
      <c r="N52" s="54" t="n">
        <f aca="false">SUMIFS(Détail!$F$2:$F$929,Détail!$E$2:$E$929,$B52,Détail!$D$2:$D$929,"Nicolas",Détail!$J$2:$J$929,2)</f>
        <v>176</v>
      </c>
      <c r="O52" s="54" t="n">
        <f aca="false">SUMIFS(Détail!$F$2:$F$929,Détail!$E$2:$E$929,$B52,Détail!$D$2:$D$929,"Aurélie",Détail!$J$2:$J$929,2)</f>
        <v>112</v>
      </c>
      <c r="P52" s="55" t="n">
        <f aca="false">IF(N52+O52-Z52&lt;=0,0,IF(F52=1,(N52+O52-Z52)/G52,ROUNDUP((N52+O52-Z52)/E52,0)))</f>
        <v>0</v>
      </c>
      <c r="Q52" s="56" t="n">
        <f aca="false">IF(H52="",0,IF(F52=1,P52/1000*H52,P52*H52))</f>
        <v>0</v>
      </c>
      <c r="R52" s="57" t="n">
        <f aca="false">J52+N52</f>
        <v>176</v>
      </c>
      <c r="S52" s="57" t="n">
        <f aca="false">K52+O52</f>
        <v>112</v>
      </c>
      <c r="T52" s="58" t="n">
        <f aca="false">R52*Y52</f>
        <v>0</v>
      </c>
      <c r="U52" s="58" t="n">
        <f aca="false">S52*Y52</f>
        <v>0</v>
      </c>
      <c r="V52" s="57" t="n">
        <f aca="false">Z52+IF(F52=1,P52*G52,P52*E52)-(N52+O52)</f>
        <v>212</v>
      </c>
      <c r="W52" s="58" t="n">
        <f aca="false">V52*Y52</f>
        <v>0</v>
      </c>
      <c r="X52" s="45" t="s">
        <v>246</v>
      </c>
      <c r="Y52" s="59" t="n">
        <f aca="false">IF(H52="",0,IF(F52=1,H52/1000/G52,H52/E52))</f>
        <v>0</v>
      </c>
      <c r="Z52" s="57" t="n">
        <f aca="false">I52+IF(F52=1,L52*G52,L52*E52)-(J52+K52)</f>
        <v>500</v>
      </c>
    </row>
    <row r="54" customFormat="false" ht="15" hidden="false" customHeight="false" outlineLevel="0" collapsed="false">
      <c r="B54" s="31" t="s">
        <v>247</v>
      </c>
      <c r="M54" s="60" t="n">
        <f aca="false">SUM(M6:M52)</f>
        <v>129.9301</v>
      </c>
      <c r="Q54" s="60" t="n">
        <f aca="false">SUM(Q6:Q52)</f>
        <v>233.180928571429</v>
      </c>
      <c r="T54" s="60" t="n">
        <f aca="false">SUM(T6:T52)</f>
        <v>176.918858874459</v>
      </c>
      <c r="U54" s="60" t="n">
        <f aca="false">SUM(U6:U52)</f>
        <v>167.842611471861</v>
      </c>
      <c r="W54" s="60" t="n">
        <f aca="false">SUM(W6:W52)</f>
        <v>18.3495582251082</v>
      </c>
    </row>
    <row r="55" customFormat="false" ht="15" hidden="false" customHeight="false" outlineLevel="0" collapsed="false">
      <c r="B55" s="31" t="s">
        <v>248</v>
      </c>
      <c r="M55" s="60" t="n">
        <f aca="false">SUMPRODUCT(J6:J52,$Y$6:$Y$52)</f>
        <v>42.9863121212121</v>
      </c>
      <c r="Q55" s="60" t="n">
        <f aca="false">SUMPRODUCT(N6:N52,$Y$6:$Y$52)</f>
        <v>133.932546753247</v>
      </c>
    </row>
    <row r="56" customFormat="false" ht="15" hidden="false" customHeight="false" outlineLevel="0" collapsed="false">
      <c r="B56" s="31" t="s">
        <v>249</v>
      </c>
      <c r="M56" s="60" t="n">
        <f aca="false">SUMPRODUCT(K6:K52,$Y$6:$Y$52)</f>
        <v>40.3696409090909</v>
      </c>
      <c r="Q56" s="60" t="n">
        <f aca="false">SUMPRODUCT(O6:O52,$Y$6:$Y$52)</f>
        <v>127.472970562771</v>
      </c>
    </row>
    <row r="57" customFormat="false" ht="15" hidden="false" customHeight="false" outlineLevel="0" collapsed="false">
      <c r="B57" s="31" t="s">
        <v>250</v>
      </c>
      <c r="M57" s="60" t="n">
        <f aca="false">M54+Q54</f>
        <v>363.111028571429</v>
      </c>
    </row>
  </sheetData>
  <mergeCells count="6">
    <mergeCell ref="A2:X2"/>
    <mergeCell ref="A4:I4"/>
    <mergeCell ref="J4:M4"/>
    <mergeCell ref="N4:Q4"/>
    <mergeCell ref="R4:W4"/>
    <mergeCell ref="Y4: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251</v>
      </c>
    </row>
    <row r="2" customFormat="false" ht="30" hidden="false" customHeight="true" outlineLevel="0" collapsed="false">
      <c r="A2" s="2" t="s">
        <v>252</v>
      </c>
      <c r="B2" s="2"/>
      <c r="C2" s="2"/>
      <c r="D2" s="2"/>
      <c r="E2" s="2"/>
    </row>
    <row r="4" customFormat="false" ht="15" hidden="false" customHeight="false" outlineLevel="0" collapsed="false">
      <c r="A4" s="4" t="s">
        <v>253</v>
      </c>
      <c r="B4" s="4" t="s">
        <v>254</v>
      </c>
      <c r="C4" s="4" t="s">
        <v>255</v>
      </c>
      <c r="D4" s="4" t="s">
        <v>256</v>
      </c>
      <c r="E4" s="4" t="s">
        <v>257</v>
      </c>
    </row>
    <row r="5" customFormat="false" ht="15" hidden="false" customHeight="false" outlineLevel="0" collapsed="false">
      <c r="A5" s="61" t="n">
        <v>46296</v>
      </c>
      <c r="B5" s="62" t="n">
        <f aca="false">SUMIFS(Détail!$H$2:$H$929,Détail!$A$2:$A$929,$A5,Détail!$D$2:$D$929,"Nicolas")</f>
        <v>1813.2</v>
      </c>
      <c r="C5" s="63" t="n">
        <f aca="false">SUMIFS(Détail!$I$2:$I$929,Détail!$A$2:$A$929,$A5,Détail!$D$2:$D$929,"Nicolas")</f>
        <v>111.26</v>
      </c>
      <c r="D5" s="62" t="n">
        <f aca="false">SUMIFS(Détail!$H$2:$H$929,Détail!$A$2:$A$929,$A5,Détail!$D$2:$D$929,"Aurélie")</f>
        <v>1293.8</v>
      </c>
      <c r="E5" s="63" t="n">
        <f aca="false">SUMIFS(Détail!$I$2:$I$929,Détail!$A$2:$A$929,$A5,Détail!$D$2:$D$929,"Aurélie")</f>
        <v>94.895</v>
      </c>
    </row>
    <row r="6" customFormat="false" ht="15" hidden="false" customHeight="false" outlineLevel="0" collapsed="false">
      <c r="A6" s="61" t="n">
        <v>46297</v>
      </c>
      <c r="B6" s="62" t="n">
        <f aca="false">SUMIFS(Détail!$H$2:$H$929,Détail!$A$2:$A$929,$A6,Détail!$D$2:$D$929,"Nicolas")</f>
        <v>1812.2</v>
      </c>
      <c r="C6" s="63" t="n">
        <f aca="false">SUMIFS(Détail!$I$2:$I$929,Détail!$A$2:$A$929,$A6,Détail!$D$2:$D$929,"Nicolas")</f>
        <v>97.395</v>
      </c>
      <c r="D6" s="62" t="n">
        <f aca="false">SUMIFS(Détail!$H$2:$H$929,Détail!$A$2:$A$929,$A6,Détail!$D$2:$D$929,"Aurélie")</f>
        <v>1255.7</v>
      </c>
      <c r="E6" s="63" t="n">
        <f aca="false">SUMIFS(Détail!$I$2:$I$929,Détail!$A$2:$A$929,$A6,Détail!$D$2:$D$929,"Aurélie")</f>
        <v>79.18</v>
      </c>
    </row>
    <row r="7" customFormat="false" ht="15" hidden="false" customHeight="false" outlineLevel="0" collapsed="false">
      <c r="A7" s="61" t="n">
        <v>46298</v>
      </c>
      <c r="B7" s="62" t="n">
        <f aca="false">SUMIFS(Détail!$H$2:$H$929,Détail!$A$2:$A$929,$A7,Détail!$D$2:$D$929,"Nicolas")</f>
        <v>1868.55</v>
      </c>
      <c r="C7" s="63" t="n">
        <f aca="false">SUMIFS(Détail!$I$2:$I$929,Détail!$A$2:$A$929,$A7,Détail!$D$2:$D$929,"Nicolas")</f>
        <v>93.805</v>
      </c>
      <c r="D7" s="62" t="n">
        <f aca="false">SUMIFS(Détail!$H$2:$H$929,Détail!$A$2:$A$929,$A7,Détail!$D$2:$D$929,"Aurélie")</f>
        <v>1351.15</v>
      </c>
      <c r="E7" s="63" t="n">
        <f aca="false">SUMIFS(Détail!$I$2:$I$929,Détail!$A$2:$A$929,$A7,Détail!$D$2:$D$929,"Aurélie")</f>
        <v>80.15</v>
      </c>
    </row>
    <row r="8" customFormat="false" ht="15" hidden="false" customHeight="false" outlineLevel="0" collapsed="false">
      <c r="A8" s="61" t="n">
        <v>46299</v>
      </c>
      <c r="B8" s="62" t="n">
        <f aca="false">SUMIFS(Détail!$H$2:$H$929,Détail!$A$2:$A$929,$A8,Détail!$D$2:$D$929,"Nicolas")</f>
        <v>1920.2</v>
      </c>
      <c r="C8" s="63" t="n">
        <f aca="false">SUMIFS(Détail!$I$2:$I$929,Détail!$A$2:$A$929,$A8,Détail!$D$2:$D$929,"Nicolas")</f>
        <v>113.23</v>
      </c>
      <c r="D8" s="62" t="n">
        <f aca="false">SUMIFS(Détail!$H$2:$H$929,Détail!$A$2:$A$929,$A8,Détail!$D$2:$D$929,"Aurélie")</f>
        <v>1445.3</v>
      </c>
      <c r="E8" s="63" t="n">
        <f aca="false">SUMIFS(Détail!$I$2:$I$929,Détail!$A$2:$A$929,$A8,Détail!$D$2:$D$929,"Aurélie")</f>
        <v>95.205</v>
      </c>
    </row>
    <row r="9" customFormat="false" ht="15" hidden="false" customHeight="false" outlineLevel="0" collapsed="false">
      <c r="A9" s="61" t="n">
        <v>46300</v>
      </c>
      <c r="B9" s="62" t="n">
        <f aca="false">SUMIFS(Détail!$H$2:$H$929,Détail!$A$2:$A$929,$A9,Détail!$D$2:$D$929,"Nicolas")</f>
        <v>1861.7</v>
      </c>
      <c r="C9" s="63" t="n">
        <f aca="false">SUMIFS(Détail!$I$2:$I$929,Détail!$A$2:$A$929,$A9,Détail!$D$2:$D$929,"Nicolas")</f>
        <v>113.72</v>
      </c>
      <c r="D9" s="62" t="n">
        <f aca="false">SUMIFS(Détail!$H$2:$H$929,Détail!$A$2:$A$929,$A9,Détail!$D$2:$D$929,"Aurélie")</f>
        <v>1340.8</v>
      </c>
      <c r="E9" s="63" t="n">
        <f aca="false">SUMIFS(Détail!$I$2:$I$929,Détail!$A$2:$A$929,$A9,Détail!$D$2:$D$929,"Aurélie")</f>
        <v>95.005</v>
      </c>
    </row>
    <row r="10" customFormat="false" ht="15" hidden="false" customHeight="false" outlineLevel="0" collapsed="false">
      <c r="A10" s="61" t="n">
        <v>46301</v>
      </c>
      <c r="B10" s="62" t="n">
        <f aca="false">SUMIFS(Détail!$H$2:$H$929,Détail!$A$2:$A$929,$A10,Détail!$D$2:$D$929,"Nicolas")</f>
        <v>1876.3</v>
      </c>
      <c r="C10" s="63" t="n">
        <f aca="false">SUMIFS(Détail!$I$2:$I$929,Détail!$A$2:$A$929,$A10,Détail!$D$2:$D$929,"Nicolas")</f>
        <v>113.955</v>
      </c>
      <c r="D10" s="62" t="n">
        <f aca="false">SUMIFS(Détail!$H$2:$H$929,Détail!$A$2:$A$929,$A10,Détail!$D$2:$D$929,"Aurélie")</f>
        <v>1300.05</v>
      </c>
      <c r="E10" s="63" t="n">
        <f aca="false">SUMIFS(Détail!$I$2:$I$929,Détail!$A$2:$A$929,$A10,Détail!$D$2:$D$929,"Aurélie")</f>
        <v>92.33</v>
      </c>
    </row>
    <row r="11" customFormat="false" ht="15" hidden="false" customHeight="false" outlineLevel="0" collapsed="false">
      <c r="A11" s="61" t="n">
        <v>46302</v>
      </c>
      <c r="B11" s="62" t="n">
        <f aca="false">SUMIFS(Détail!$H$2:$H$929,Détail!$A$2:$A$929,$A11,Détail!$D$2:$D$929,"Nicolas")</f>
        <v>1742.6</v>
      </c>
      <c r="C11" s="63" t="n">
        <f aca="false">SUMIFS(Détail!$I$2:$I$929,Détail!$A$2:$A$929,$A11,Détail!$D$2:$D$929,"Nicolas")</f>
        <v>105.555</v>
      </c>
      <c r="D11" s="62" t="n">
        <f aca="false">SUMIFS(Détail!$H$2:$H$929,Détail!$A$2:$A$929,$A11,Détail!$D$2:$D$929,"Aurélie")</f>
        <v>1233.1</v>
      </c>
      <c r="E11" s="63" t="n">
        <f aca="false">SUMIFS(Détail!$I$2:$I$929,Détail!$A$2:$A$929,$A11,Détail!$D$2:$D$929,"Aurélie")</f>
        <v>89.89</v>
      </c>
    </row>
    <row r="12" customFormat="false" ht="15" hidden="false" customHeight="false" outlineLevel="0" collapsed="false">
      <c r="A12" s="61" t="n">
        <v>46303</v>
      </c>
      <c r="B12" s="62" t="n">
        <f aca="false">SUMIFS(Détail!$H$2:$H$929,Détail!$A$2:$A$929,$A12,Détail!$D$2:$D$929,"Nicolas")</f>
        <v>1775.9</v>
      </c>
      <c r="C12" s="63" t="n">
        <f aca="false">SUMIFS(Détail!$I$2:$I$929,Détail!$A$2:$A$929,$A12,Détail!$D$2:$D$929,"Nicolas")</f>
        <v>111.65</v>
      </c>
      <c r="D12" s="62" t="n">
        <f aca="false">SUMIFS(Détail!$H$2:$H$929,Détail!$A$2:$A$929,$A12,Détail!$D$2:$D$929,"Aurélie")</f>
        <v>1283.1</v>
      </c>
      <c r="E12" s="63" t="n">
        <f aca="false">SUMIFS(Détail!$I$2:$I$929,Détail!$A$2:$A$929,$A12,Détail!$D$2:$D$929,"Aurélie")</f>
        <v>95.085</v>
      </c>
    </row>
    <row r="13" customFormat="false" ht="15" hidden="false" customHeight="false" outlineLevel="0" collapsed="false">
      <c r="A13" s="61" t="n">
        <v>46304</v>
      </c>
      <c r="B13" s="62" t="n">
        <f aca="false">SUMIFS(Détail!$H$2:$H$929,Détail!$A$2:$A$929,$A13,Détail!$D$2:$D$929,"Nicolas")</f>
        <v>1958.3</v>
      </c>
      <c r="C13" s="63" t="n">
        <f aca="false">SUMIFS(Détail!$I$2:$I$929,Détail!$A$2:$A$929,$A13,Détail!$D$2:$D$929,"Nicolas")</f>
        <v>104.445</v>
      </c>
      <c r="D13" s="62" t="n">
        <f aca="false">SUMIFS(Détail!$H$2:$H$929,Détail!$A$2:$A$929,$A13,Détail!$D$2:$D$929,"Aurélie")</f>
        <v>1476.2</v>
      </c>
      <c r="E13" s="63" t="n">
        <f aca="false">SUMIFS(Détail!$I$2:$I$929,Détail!$A$2:$A$929,$A13,Détail!$D$2:$D$929,"Aurélie")</f>
        <v>92.51</v>
      </c>
    </row>
    <row r="14" customFormat="false" ht="15" hidden="false" customHeight="false" outlineLevel="0" collapsed="false">
      <c r="A14" s="61" t="n">
        <v>46305</v>
      </c>
      <c r="B14" s="62" t="n">
        <f aca="false">SUMIFS(Détail!$H$2:$H$929,Détail!$A$2:$A$929,$A14,Détail!$D$2:$D$929,"Nicolas")</f>
        <v>1930.15</v>
      </c>
      <c r="C14" s="63" t="n">
        <f aca="false">SUMIFS(Détail!$I$2:$I$929,Détail!$A$2:$A$929,$A14,Détail!$D$2:$D$929,"Nicolas")</f>
        <v>103.92</v>
      </c>
      <c r="D14" s="62" t="n">
        <f aca="false">SUMIFS(Détail!$H$2:$H$929,Détail!$A$2:$A$929,$A14,Détail!$D$2:$D$929,"Aurélie")</f>
        <v>1470.55</v>
      </c>
      <c r="E14" s="63" t="n">
        <f aca="false">SUMIFS(Détail!$I$2:$I$929,Détail!$A$2:$A$929,$A14,Détail!$D$2:$D$929,"Aurélie")</f>
        <v>90.025</v>
      </c>
    </row>
    <row r="15" customFormat="false" ht="15" hidden="false" customHeight="false" outlineLevel="0" collapsed="false">
      <c r="A15" s="61" t="n">
        <v>46306</v>
      </c>
      <c r="B15" s="62" t="n">
        <f aca="false">SUMIFS(Détail!$H$2:$H$929,Détail!$A$2:$A$929,$A15,Détail!$D$2:$D$929,"Nicolas")</f>
        <v>1883.3</v>
      </c>
      <c r="C15" s="63" t="n">
        <f aca="false">SUMIFS(Détail!$I$2:$I$929,Détail!$A$2:$A$929,$A15,Détail!$D$2:$D$929,"Nicolas")</f>
        <v>106.06</v>
      </c>
      <c r="D15" s="62" t="n">
        <f aca="false">SUMIFS(Détail!$H$2:$H$929,Détail!$A$2:$A$929,$A15,Détail!$D$2:$D$929,"Aurélie")</f>
        <v>1415.8</v>
      </c>
      <c r="E15" s="63" t="n">
        <f aca="false">SUMIFS(Détail!$I$2:$I$929,Détail!$A$2:$A$929,$A15,Détail!$D$2:$D$929,"Aurélie")</f>
        <v>88.075</v>
      </c>
    </row>
    <row r="16" customFormat="false" ht="15" hidden="false" customHeight="false" outlineLevel="0" collapsed="false">
      <c r="A16" s="61" t="n">
        <v>46307</v>
      </c>
      <c r="B16" s="62" t="n">
        <f aca="false">SUMIFS(Détail!$H$2:$H$929,Détail!$A$2:$A$929,$A16,Détail!$D$2:$D$929,"Nicolas")</f>
        <v>1988.45</v>
      </c>
      <c r="C16" s="63" t="n">
        <f aca="false">SUMIFS(Détail!$I$2:$I$929,Détail!$A$2:$A$929,$A16,Détail!$D$2:$D$929,"Nicolas")</f>
        <v>118.835</v>
      </c>
      <c r="D16" s="62" t="n">
        <f aca="false">SUMIFS(Détail!$H$2:$H$929,Détail!$A$2:$A$929,$A16,Détail!$D$2:$D$929,"Aurélie")</f>
        <v>1488.55</v>
      </c>
      <c r="E16" s="63" t="n">
        <f aca="false">SUMIFS(Détail!$I$2:$I$929,Détail!$A$2:$A$929,$A16,Détail!$D$2:$D$929,"Aurélie")</f>
        <v>100.53</v>
      </c>
    </row>
    <row r="17" customFormat="false" ht="15" hidden="false" customHeight="false" outlineLevel="0" collapsed="false">
      <c r="A17" s="61" t="n">
        <v>46308</v>
      </c>
      <c r="B17" s="62" t="n">
        <f aca="false">SUMIFS(Détail!$H$2:$H$929,Détail!$A$2:$A$929,$A17,Détail!$D$2:$D$929,"Nicolas")</f>
        <v>1930.95</v>
      </c>
      <c r="C17" s="63" t="n">
        <f aca="false">SUMIFS(Détail!$I$2:$I$929,Détail!$A$2:$A$929,$A17,Détail!$D$2:$D$929,"Nicolas")</f>
        <v>115.17</v>
      </c>
      <c r="D17" s="62" t="n">
        <f aca="false">SUMIFS(Détail!$H$2:$H$929,Détail!$A$2:$A$929,$A17,Détail!$D$2:$D$929,"Aurélie")</f>
        <v>1318.75</v>
      </c>
      <c r="E17" s="63" t="n">
        <f aca="false">SUMIFS(Détail!$I$2:$I$929,Détail!$A$2:$A$929,$A17,Détail!$D$2:$D$929,"Aurélie")</f>
        <v>93.01</v>
      </c>
    </row>
    <row r="18" customFormat="false" ht="15" hidden="false" customHeight="false" outlineLevel="0" collapsed="false">
      <c r="A18" s="61" t="n">
        <v>46309</v>
      </c>
      <c r="B18" s="62" t="n">
        <f aca="false">SUMIFS(Détail!$H$2:$H$929,Détail!$A$2:$A$929,$A18,Détail!$D$2:$D$929,"Nicolas")</f>
        <v>1834.2</v>
      </c>
      <c r="C18" s="63" t="n">
        <f aca="false">SUMIFS(Détail!$I$2:$I$929,Détail!$A$2:$A$929,$A18,Détail!$D$2:$D$929,"Nicolas")</f>
        <v>105.43</v>
      </c>
      <c r="D18" s="62" t="n">
        <f aca="false">SUMIFS(Détail!$H$2:$H$929,Détail!$A$2:$A$929,$A18,Détail!$D$2:$D$929,"Aurélie")</f>
        <v>1303.15</v>
      </c>
      <c r="E18" s="63" t="n">
        <f aca="false">SUMIFS(Détail!$I$2:$I$929,Détail!$A$2:$A$929,$A18,Détail!$D$2:$D$929,"Aurélie")</f>
        <v>87.55</v>
      </c>
    </row>
    <row r="19" customFormat="false" ht="15" hidden="false" customHeight="false" outlineLevel="0" collapsed="false">
      <c r="A19" s="61" t="n">
        <v>46310</v>
      </c>
      <c r="B19" s="62" t="n">
        <f aca="false">SUMIFS(Détail!$H$2:$H$929,Détail!$A$2:$A$929,$A19,Détail!$D$2:$D$929,"Nicolas")</f>
        <v>1937.05</v>
      </c>
      <c r="C19" s="63" t="n">
        <f aca="false">SUMIFS(Détail!$I$2:$I$929,Détail!$A$2:$A$929,$A19,Détail!$D$2:$D$929,"Nicolas")</f>
        <v>113.72</v>
      </c>
      <c r="D19" s="62" t="n">
        <f aca="false">SUMIFS(Détail!$H$2:$H$929,Détail!$A$2:$A$929,$A19,Détail!$D$2:$D$929,"Aurélie")</f>
        <v>1397.75</v>
      </c>
      <c r="E19" s="63" t="n">
        <f aca="false">SUMIFS(Détail!$I$2:$I$929,Détail!$A$2:$A$929,$A19,Détail!$D$2:$D$929,"Aurélie")</f>
        <v>95.125</v>
      </c>
    </row>
    <row r="20" customFormat="false" ht="15" hidden="false" customHeight="false" outlineLevel="0" collapsed="false">
      <c r="A20" s="61" t="n">
        <v>46311</v>
      </c>
      <c r="B20" s="62" t="n">
        <f aca="false">SUMIFS(Détail!$H$2:$H$929,Détail!$A$2:$A$929,$A20,Détail!$D$2:$D$929,"Nicolas")</f>
        <v>1958.05</v>
      </c>
      <c r="C20" s="63" t="n">
        <f aca="false">SUMIFS(Détail!$I$2:$I$929,Détail!$A$2:$A$929,$A20,Détail!$D$2:$D$929,"Nicolas")</f>
        <v>106.915</v>
      </c>
      <c r="D20" s="62" t="n">
        <f aca="false">SUMIFS(Détail!$H$2:$H$929,Détail!$A$2:$A$929,$A20,Détail!$D$2:$D$929,"Aurélie")</f>
        <v>1390.1</v>
      </c>
      <c r="E20" s="63" t="n">
        <f aca="false">SUMIFS(Détail!$I$2:$I$929,Détail!$A$2:$A$929,$A20,Détail!$D$2:$D$929,"Aurélie")</f>
        <v>88.67</v>
      </c>
    </row>
    <row r="21" customFormat="false" ht="15" hidden="false" customHeight="false" outlineLevel="0" collapsed="false">
      <c r="A21" s="61" t="n">
        <v>46312</v>
      </c>
      <c r="B21" s="62" t="n">
        <f aca="false">SUMIFS(Détail!$H$2:$H$929,Détail!$A$2:$A$929,$A21,Détail!$D$2:$D$929,"Nicolas")</f>
        <v>2106.2</v>
      </c>
      <c r="C21" s="63" t="n">
        <f aca="false">SUMIFS(Détail!$I$2:$I$929,Détail!$A$2:$A$929,$A21,Détail!$D$2:$D$929,"Nicolas")</f>
        <v>106.44</v>
      </c>
      <c r="D21" s="62" t="n">
        <f aca="false">SUMIFS(Détail!$H$2:$H$929,Détail!$A$2:$A$929,$A21,Détail!$D$2:$D$929,"Aurélie")</f>
        <v>1509.8</v>
      </c>
      <c r="E21" s="63" t="n">
        <f aca="false">SUMIFS(Détail!$I$2:$I$929,Détail!$A$2:$A$929,$A21,Détail!$D$2:$D$929,"Aurélie")</f>
        <v>90.025</v>
      </c>
    </row>
    <row r="22" customFormat="false" ht="15" hidden="false" customHeight="false" outlineLevel="0" collapsed="false">
      <c r="A22" s="61" t="n">
        <v>46313</v>
      </c>
      <c r="B22" s="62" t="n">
        <f aca="false">SUMIFS(Détail!$H$2:$H$929,Détail!$A$2:$A$929,$A22,Détail!$D$2:$D$929,"Nicolas")</f>
        <v>1913.4</v>
      </c>
      <c r="C22" s="63" t="n">
        <f aca="false">SUMIFS(Détail!$I$2:$I$929,Détail!$A$2:$A$929,$A22,Détail!$D$2:$D$929,"Nicolas")</f>
        <v>114.89</v>
      </c>
      <c r="D22" s="62" t="n">
        <f aca="false">SUMIFS(Détail!$H$2:$H$929,Détail!$A$2:$A$929,$A22,Détail!$D$2:$D$929,"Aurélie")</f>
        <v>1356.2</v>
      </c>
      <c r="E22" s="63" t="n">
        <f aca="false">SUMIFS(Détail!$I$2:$I$929,Détail!$A$2:$A$929,$A22,Détail!$D$2:$D$929,"Aurélie")</f>
        <v>95.725</v>
      </c>
    </row>
    <row r="23" customFormat="false" ht="15" hidden="false" customHeight="false" outlineLevel="0" collapsed="false">
      <c r="A23" s="61" t="n">
        <v>46314</v>
      </c>
      <c r="B23" s="62" t="n">
        <f aca="false">SUMIFS(Détail!$H$2:$H$929,Détail!$A$2:$A$929,$A23,Détail!$D$2:$D$929,"Nicolas")</f>
        <v>1750.4</v>
      </c>
      <c r="C23" s="63" t="n">
        <f aca="false">SUMIFS(Détail!$I$2:$I$929,Détail!$A$2:$A$929,$A23,Détail!$D$2:$D$929,"Nicolas")</f>
        <v>110.68</v>
      </c>
      <c r="D23" s="62" t="n">
        <f aca="false">SUMIFS(Détail!$H$2:$H$929,Détail!$A$2:$A$929,$A23,Détail!$D$2:$D$929,"Aurélie")</f>
        <v>1255.2</v>
      </c>
      <c r="E23" s="63" t="n">
        <f aca="false">SUMIFS(Détail!$I$2:$I$929,Détail!$A$2:$A$929,$A23,Détail!$D$2:$D$929,"Aurélie")</f>
        <v>95.255</v>
      </c>
    </row>
    <row r="24" customFormat="false" ht="15" hidden="false" customHeight="false" outlineLevel="0" collapsed="false">
      <c r="A24" s="61" t="n">
        <v>46315</v>
      </c>
      <c r="B24" s="62" t="n">
        <f aca="false">SUMIFS(Détail!$H$2:$H$929,Détail!$A$2:$A$929,$A24,Détail!$D$2:$D$929,"Nicolas")</f>
        <v>1774.25</v>
      </c>
      <c r="C24" s="63" t="n">
        <f aca="false">SUMIFS(Détail!$I$2:$I$929,Détail!$A$2:$A$929,$A24,Détail!$D$2:$D$929,"Nicolas")</f>
        <v>104.61</v>
      </c>
      <c r="D24" s="62" t="n">
        <f aca="false">SUMIFS(Détail!$H$2:$H$929,Détail!$A$2:$A$929,$A24,Détail!$D$2:$D$929,"Aurélie")</f>
        <v>1225.55</v>
      </c>
      <c r="E24" s="63" t="n">
        <f aca="false">SUMIFS(Détail!$I$2:$I$929,Détail!$A$2:$A$929,$A24,Détail!$D$2:$D$929,"Aurélie")</f>
        <v>87.76</v>
      </c>
    </row>
    <row r="25" customFormat="false" ht="15" hidden="false" customHeight="false" outlineLevel="0" collapsed="false">
      <c r="A25" s="61" t="n">
        <v>46316</v>
      </c>
      <c r="B25" s="62" t="n">
        <f aca="false">SUMIFS(Détail!$H$2:$H$929,Détail!$A$2:$A$929,$A25,Détail!$D$2:$D$929,"Nicolas")</f>
        <v>1842.8</v>
      </c>
      <c r="C25" s="63" t="n">
        <f aca="false">SUMIFS(Détail!$I$2:$I$929,Détail!$A$2:$A$929,$A25,Détail!$D$2:$D$929,"Nicolas")</f>
        <v>98.78</v>
      </c>
      <c r="D25" s="62" t="n">
        <f aca="false">SUMIFS(Détail!$H$2:$H$929,Détail!$A$2:$A$929,$A25,Détail!$D$2:$D$929,"Aurélie")</f>
        <v>1283.9</v>
      </c>
      <c r="E25" s="63" t="n">
        <f aca="false">SUMIFS(Détail!$I$2:$I$929,Détail!$A$2:$A$929,$A25,Détail!$D$2:$D$929,"Aurélie")</f>
        <v>82.145</v>
      </c>
    </row>
    <row r="26" customFormat="false" ht="15" hidden="false" customHeight="false" outlineLevel="0" collapsed="false">
      <c r="A26" s="64"/>
      <c r="B26" s="65"/>
      <c r="C26" s="66"/>
      <c r="D26" s="65"/>
      <c r="E26" s="66"/>
    </row>
    <row r="27" customFormat="false" ht="15" hidden="false" customHeight="false" outlineLevel="0" collapsed="false">
      <c r="A27" s="27" t="s">
        <v>258</v>
      </c>
      <c r="B27" s="67" t="n">
        <f aca="false">AVERAGE(B5:B11)</f>
        <v>1842.10714285714</v>
      </c>
      <c r="C27" s="68" t="n">
        <f aca="false">AVERAGE(C5:C11)</f>
        <v>106.988571428571</v>
      </c>
      <c r="D27" s="67" t="n">
        <f aca="false">AVERAGE(D5:D11)</f>
        <v>1317.12857142857</v>
      </c>
      <c r="E27" s="68" t="n">
        <f aca="false">AVERAGE(E5:E11)</f>
        <v>89.5221428571429</v>
      </c>
    </row>
    <row r="28" customFormat="false" ht="15" hidden="false" customHeight="false" outlineLevel="0" collapsed="false">
      <c r="A28" s="27" t="s">
        <v>259</v>
      </c>
      <c r="B28" s="67" t="n">
        <f aca="false">AVERAGE(B12:B18)</f>
        <v>1900.17857142857</v>
      </c>
      <c r="C28" s="68" t="n">
        <f aca="false">AVERAGE(C12:C18)</f>
        <v>109.358571428571</v>
      </c>
      <c r="D28" s="67" t="n">
        <f aca="false">AVERAGE(D12:D18)</f>
        <v>1393.72857142857</v>
      </c>
      <c r="E28" s="68" t="n">
        <f aca="false">AVERAGE(E12:E18)</f>
        <v>92.3978571428571</v>
      </c>
    </row>
    <row r="29" customFormat="false" ht="15" hidden="false" customHeight="false" outlineLevel="0" collapsed="false">
      <c r="A29" s="27" t="s">
        <v>260</v>
      </c>
      <c r="B29" s="67" t="n">
        <f aca="false">AVERAGE(B19:B25)</f>
        <v>1897.45</v>
      </c>
      <c r="C29" s="68" t="n">
        <f aca="false">AVERAGE(C19:C25)</f>
        <v>108.005</v>
      </c>
      <c r="D29" s="67" t="n">
        <f aca="false">AVERAGE(D19:D25)</f>
        <v>1345.5</v>
      </c>
      <c r="E29" s="68" t="n">
        <f aca="false">AVERAGE(E19:E25)</f>
        <v>90.6721428571429</v>
      </c>
    </row>
    <row r="30" customFormat="false" ht="15" hidden="false" customHeight="false" outlineLevel="0" collapsed="false">
      <c r="A30" s="27" t="s">
        <v>261</v>
      </c>
      <c r="B30" s="67" t="n">
        <f aca="false">AVERAGE(B5:B25)</f>
        <v>1879.91190476191</v>
      </c>
      <c r="C30" s="68" t="n">
        <f aca="false">AVERAGE(C5:C25)</f>
        <v>108.117380952381</v>
      </c>
      <c r="D30" s="67" t="n">
        <f aca="false">AVERAGE(D5:D25)</f>
        <v>1352.11904761905</v>
      </c>
      <c r="E30" s="68" t="n">
        <f aca="false">AVERAGE(E5:E25)</f>
        <v>90.8640476190476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9"/>
  </cols>
  <sheetData>
    <row r="1" customFormat="false" ht="15" hidden="false" customHeight="false" outlineLevel="0" collapsed="false">
      <c r="A1" s="69" t="s">
        <v>253</v>
      </c>
      <c r="B1" s="69" t="s">
        <v>3</v>
      </c>
      <c r="C1" s="69" t="s">
        <v>4</v>
      </c>
      <c r="D1" s="69" t="s">
        <v>262</v>
      </c>
      <c r="E1" s="69" t="s">
        <v>5</v>
      </c>
      <c r="F1" s="69" t="s">
        <v>263</v>
      </c>
      <c r="G1" s="69" t="s">
        <v>8</v>
      </c>
      <c r="H1" s="69" t="s">
        <v>264</v>
      </c>
      <c r="I1" s="69" t="s">
        <v>265</v>
      </c>
      <c r="J1" s="69" t="s">
        <v>266</v>
      </c>
      <c r="L1" s="3" t="s">
        <v>267</v>
      </c>
    </row>
    <row r="2" customFormat="false" ht="15" hidden="false" customHeight="false" outlineLevel="0" collapsed="false">
      <c r="A2" s="70" t="n">
        <v>46296</v>
      </c>
      <c r="B2" s="64" t="s">
        <v>10</v>
      </c>
      <c r="C2" s="64" t="s">
        <v>11</v>
      </c>
      <c r="D2" s="64" t="s">
        <v>6</v>
      </c>
      <c r="E2" s="64" t="s">
        <v>12</v>
      </c>
      <c r="F2" s="71" t="n">
        <f aca="false">Menu!D7</f>
        <v>250</v>
      </c>
      <c r="G2" s="64" t="s">
        <v>13</v>
      </c>
      <c r="H2" s="66" t="n">
        <f aca="false">F2/INDEX(Valeurs!$B$2:$B$40,MATCH(E2,Valeurs!$A$2:$A$40,0))*INDEX(Valeurs!$D$2:$D$40,MATCH(E2,Valeurs!$A$2:$A$40,0))</f>
        <v>115</v>
      </c>
      <c r="I2" s="72" t="n">
        <f aca="false">F2/INDEX(Valeurs!$B$2:$B$40,MATCH(E2,Valeurs!$A$2:$A$40,0))*INDEX(Valeurs!$E$2:$E$40,MATCH(E2,Valeurs!$A$2:$A$40,0))</f>
        <v>8.25</v>
      </c>
      <c r="J2" s="64" t="n">
        <v>1</v>
      </c>
    </row>
    <row r="3" customFormat="false" ht="15" hidden="false" customHeight="false" outlineLevel="0" collapsed="false">
      <c r="A3" s="70" t="n">
        <v>46296</v>
      </c>
      <c r="B3" s="64" t="s">
        <v>10</v>
      </c>
      <c r="C3" s="64" t="s">
        <v>11</v>
      </c>
      <c r="D3" s="64" t="s">
        <v>7</v>
      </c>
      <c r="E3" s="64" t="s">
        <v>12</v>
      </c>
      <c r="F3" s="71" t="n">
        <f aca="false">Menu!E7</f>
        <v>0</v>
      </c>
      <c r="G3" s="64" t="s">
        <v>13</v>
      </c>
      <c r="H3" s="66" t="n">
        <f aca="false">F3/INDEX(Valeurs!$B$2:$B$40,MATCH(E3,Valeurs!$A$2:$A$40,0))*INDEX(Valeurs!$D$2:$D$40,MATCH(E3,Valeurs!$A$2:$A$40,0))</f>
        <v>0</v>
      </c>
      <c r="I3" s="72" t="n">
        <f aca="false">F3/INDEX(Valeurs!$B$2:$B$40,MATCH(E3,Valeurs!$A$2:$A$40,0))*INDEX(Valeurs!$E$2:$E$40,MATCH(E3,Valeurs!$A$2:$A$40,0))</f>
        <v>0</v>
      </c>
      <c r="J3" s="64" t="n">
        <v>1</v>
      </c>
    </row>
    <row r="4" customFormat="false" ht="15" hidden="false" customHeight="false" outlineLevel="0" collapsed="false">
      <c r="A4" s="70" t="n">
        <v>46296</v>
      </c>
      <c r="B4" s="64" t="s">
        <v>10</v>
      </c>
      <c r="C4" s="64" t="s">
        <v>11</v>
      </c>
      <c r="D4" s="64" t="s">
        <v>6</v>
      </c>
      <c r="E4" s="64" t="s">
        <v>14</v>
      </c>
      <c r="F4" s="71" t="n">
        <f aca="false">Menu!D8</f>
        <v>100</v>
      </c>
      <c r="G4" s="64" t="s">
        <v>15</v>
      </c>
      <c r="H4" s="66" t="n">
        <f aca="false">F4/INDEX(Valeurs!$B$2:$B$40,MATCH(E4,Valeurs!$A$2:$A$40,0))*INDEX(Valeurs!$D$2:$D$40,MATCH(E4,Valeurs!$A$2:$A$40,0))</f>
        <v>90</v>
      </c>
      <c r="I4" s="72" t="n">
        <f aca="false">F4/INDEX(Valeurs!$B$2:$B$40,MATCH(E4,Valeurs!$A$2:$A$40,0))*INDEX(Valeurs!$E$2:$E$40,MATCH(E4,Valeurs!$A$2:$A$40,0))</f>
        <v>1.1</v>
      </c>
      <c r="J4" s="64" t="n">
        <v>1</v>
      </c>
    </row>
    <row r="5" customFormat="false" ht="15" hidden="false" customHeight="false" outlineLevel="0" collapsed="false">
      <c r="A5" s="70" t="n">
        <v>46296</v>
      </c>
      <c r="B5" s="64" t="s">
        <v>10</v>
      </c>
      <c r="C5" s="64" t="s">
        <v>11</v>
      </c>
      <c r="D5" s="64" t="s">
        <v>7</v>
      </c>
      <c r="E5" s="64" t="s">
        <v>14</v>
      </c>
      <c r="F5" s="71" t="n">
        <f aca="false">Menu!E8</f>
        <v>0</v>
      </c>
      <c r="G5" s="64" t="s">
        <v>15</v>
      </c>
      <c r="H5" s="66" t="n">
        <f aca="false">F5/INDEX(Valeurs!$B$2:$B$40,MATCH(E5,Valeurs!$A$2:$A$40,0))*INDEX(Valeurs!$D$2:$D$40,MATCH(E5,Valeurs!$A$2:$A$40,0))</f>
        <v>0</v>
      </c>
      <c r="I5" s="72" t="n">
        <f aca="false">F5/INDEX(Valeurs!$B$2:$B$40,MATCH(E5,Valeurs!$A$2:$A$40,0))*INDEX(Valeurs!$E$2:$E$40,MATCH(E5,Valeurs!$A$2:$A$40,0))</f>
        <v>0</v>
      </c>
      <c r="J5" s="64" t="n">
        <v>1</v>
      </c>
    </row>
    <row r="6" customFormat="false" ht="15" hidden="false" customHeight="false" outlineLevel="0" collapsed="false">
      <c r="A6" s="70" t="n">
        <v>46296</v>
      </c>
      <c r="B6" s="64" t="s">
        <v>10</v>
      </c>
      <c r="C6" s="64" t="s">
        <v>11</v>
      </c>
      <c r="D6" s="64" t="s">
        <v>6</v>
      </c>
      <c r="E6" s="64" t="s">
        <v>16</v>
      </c>
      <c r="F6" s="71" t="n">
        <f aca="false">Menu!D9</f>
        <v>65</v>
      </c>
      <c r="G6" s="64" t="s">
        <v>15</v>
      </c>
      <c r="H6" s="66" t="n">
        <f aca="false">F6/INDEX(Valeurs!$B$2:$B$40,MATCH(E6,Valeurs!$A$2:$A$40,0))*INDEX(Valeurs!$D$2:$D$40,MATCH(E6,Valeurs!$A$2:$A$40,0))</f>
        <v>241.8</v>
      </c>
      <c r="I6" s="72" t="n">
        <f aca="false">F6/INDEX(Valeurs!$B$2:$B$40,MATCH(E6,Valeurs!$A$2:$A$40,0))*INDEX(Valeurs!$E$2:$E$40,MATCH(E6,Valeurs!$A$2:$A$40,0))</f>
        <v>8.775</v>
      </c>
      <c r="J6" s="64" t="n">
        <v>1</v>
      </c>
    </row>
    <row r="7" customFormat="false" ht="15" hidden="false" customHeight="false" outlineLevel="0" collapsed="false">
      <c r="A7" s="70" t="n">
        <v>46296</v>
      </c>
      <c r="B7" s="64" t="s">
        <v>10</v>
      </c>
      <c r="C7" s="64" t="s">
        <v>11</v>
      </c>
      <c r="D7" s="64" t="s">
        <v>7</v>
      </c>
      <c r="E7" s="64" t="s">
        <v>16</v>
      </c>
      <c r="F7" s="71" t="n">
        <f aca="false">Menu!E9</f>
        <v>0</v>
      </c>
      <c r="G7" s="64" t="s">
        <v>15</v>
      </c>
      <c r="H7" s="66" t="n">
        <f aca="false">F7/INDEX(Valeurs!$B$2:$B$40,MATCH(E7,Valeurs!$A$2:$A$40,0))*INDEX(Valeurs!$D$2:$D$40,MATCH(E7,Valeurs!$A$2:$A$40,0))</f>
        <v>0</v>
      </c>
      <c r="I7" s="72" t="n">
        <f aca="false">F7/INDEX(Valeurs!$B$2:$B$40,MATCH(E7,Valeurs!$A$2:$A$40,0))*INDEX(Valeurs!$E$2:$E$40,MATCH(E7,Valeurs!$A$2:$A$40,0))</f>
        <v>0</v>
      </c>
      <c r="J7" s="64" t="n">
        <v>1</v>
      </c>
    </row>
    <row r="8" customFormat="false" ht="15" hidden="false" customHeight="false" outlineLevel="0" collapsed="false">
      <c r="A8" s="70" t="n">
        <v>46296</v>
      </c>
      <c r="B8" s="64" t="s">
        <v>10</v>
      </c>
      <c r="C8" s="64" t="s">
        <v>11</v>
      </c>
      <c r="D8" s="64" t="s">
        <v>6</v>
      </c>
      <c r="E8" s="64" t="s">
        <v>17</v>
      </c>
      <c r="F8" s="71" t="n">
        <f aca="false">Menu!D10</f>
        <v>1</v>
      </c>
      <c r="G8" s="64" t="s">
        <v>171</v>
      </c>
      <c r="H8" s="66" t="n">
        <f aca="false">F8/INDEX(Valeurs!$B$2:$B$40,MATCH(E8,Valeurs!$A$2:$A$40,0))*INDEX(Valeurs!$D$2:$D$40,MATCH(E8,Valeurs!$A$2:$A$40,0))</f>
        <v>87</v>
      </c>
      <c r="I8" s="72" t="n">
        <f aca="false">F8/INDEX(Valeurs!$B$2:$B$40,MATCH(E8,Valeurs!$A$2:$A$40,0))*INDEX(Valeurs!$E$2:$E$40,MATCH(E8,Valeurs!$A$2:$A$40,0))</f>
        <v>7.5</v>
      </c>
      <c r="J8" s="64" t="n">
        <v>1</v>
      </c>
    </row>
    <row r="9" customFormat="false" ht="15" hidden="false" customHeight="false" outlineLevel="0" collapsed="false">
      <c r="A9" s="70" t="n">
        <v>46296</v>
      </c>
      <c r="B9" s="64" t="s">
        <v>10</v>
      </c>
      <c r="C9" s="64" t="s">
        <v>11</v>
      </c>
      <c r="D9" s="64" t="s">
        <v>7</v>
      </c>
      <c r="E9" s="64" t="s">
        <v>17</v>
      </c>
      <c r="F9" s="71" t="n">
        <f aca="false">Menu!E10</f>
        <v>2</v>
      </c>
      <c r="G9" s="64" t="s">
        <v>171</v>
      </c>
      <c r="H9" s="66" t="n">
        <f aca="false">F9/INDEX(Valeurs!$B$2:$B$40,MATCH(E9,Valeurs!$A$2:$A$40,0))*INDEX(Valeurs!$D$2:$D$40,MATCH(E9,Valeurs!$A$2:$A$40,0))</f>
        <v>174</v>
      </c>
      <c r="I9" s="72" t="n">
        <f aca="false">F9/INDEX(Valeurs!$B$2:$B$40,MATCH(E9,Valeurs!$A$2:$A$40,0))*INDEX(Valeurs!$E$2:$E$40,MATCH(E9,Valeurs!$A$2:$A$40,0))</f>
        <v>15</v>
      </c>
      <c r="J9" s="64" t="n">
        <v>1</v>
      </c>
    </row>
    <row r="10" customFormat="false" ht="15" hidden="false" customHeight="false" outlineLevel="0" collapsed="false">
      <c r="A10" s="70" t="n">
        <v>46296</v>
      </c>
      <c r="B10" s="64" t="s">
        <v>10</v>
      </c>
      <c r="C10" s="64" t="s">
        <v>11</v>
      </c>
      <c r="D10" s="64" t="s">
        <v>6</v>
      </c>
      <c r="E10" s="64" t="s">
        <v>19</v>
      </c>
      <c r="F10" s="71" t="n">
        <f aca="false">Menu!D11</f>
        <v>0</v>
      </c>
      <c r="G10" s="64" t="s">
        <v>15</v>
      </c>
      <c r="H10" s="66" t="n">
        <f aca="false">F10/INDEX(Valeurs!$B$2:$B$40,MATCH(E10,Valeurs!$A$2:$A$40,0))*INDEX(Valeurs!$D$2:$D$40,MATCH(E10,Valeurs!$A$2:$A$40,0))</f>
        <v>0</v>
      </c>
      <c r="I10" s="72" t="n">
        <f aca="false">F10/INDEX(Valeurs!$B$2:$B$40,MATCH(E10,Valeurs!$A$2:$A$40,0))*INDEX(Valeurs!$E$2:$E$40,MATCH(E10,Valeurs!$A$2:$A$40,0))</f>
        <v>0</v>
      </c>
      <c r="J10" s="64" t="n">
        <v>1</v>
      </c>
    </row>
    <row r="11" customFormat="false" ht="15" hidden="false" customHeight="false" outlineLevel="0" collapsed="false">
      <c r="A11" s="70" t="n">
        <v>46296</v>
      </c>
      <c r="B11" s="64" t="s">
        <v>10</v>
      </c>
      <c r="C11" s="64" t="s">
        <v>11</v>
      </c>
      <c r="D11" s="64" t="s">
        <v>7</v>
      </c>
      <c r="E11" s="64" t="s">
        <v>19</v>
      </c>
      <c r="F11" s="71" t="n">
        <f aca="false">Menu!E11</f>
        <v>30</v>
      </c>
      <c r="G11" s="64" t="s">
        <v>15</v>
      </c>
      <c r="H11" s="66" t="n">
        <f aca="false">F11/INDEX(Valeurs!$B$2:$B$40,MATCH(E11,Valeurs!$A$2:$A$40,0))*INDEX(Valeurs!$D$2:$D$40,MATCH(E11,Valeurs!$A$2:$A$40,0))</f>
        <v>33</v>
      </c>
      <c r="I11" s="72" t="n">
        <f aca="false">F11/INDEX(Valeurs!$B$2:$B$40,MATCH(E11,Valeurs!$A$2:$A$40,0))*INDEX(Valeurs!$E$2:$E$40,MATCH(E11,Valeurs!$A$2:$A$40,0))</f>
        <v>6</v>
      </c>
      <c r="J11" s="64" t="n">
        <v>1</v>
      </c>
    </row>
    <row r="12" customFormat="false" ht="15" hidden="false" customHeight="false" outlineLevel="0" collapsed="false">
      <c r="A12" s="70" t="n">
        <v>46296</v>
      </c>
      <c r="B12" s="64" t="s">
        <v>10</v>
      </c>
      <c r="C12" s="64" t="s">
        <v>11</v>
      </c>
      <c r="D12" s="64" t="s">
        <v>6</v>
      </c>
      <c r="E12" s="64" t="s">
        <v>20</v>
      </c>
      <c r="F12" s="71" t="n">
        <f aca="false">Menu!D12</f>
        <v>0</v>
      </c>
      <c r="G12" s="64" t="s">
        <v>15</v>
      </c>
      <c r="H12" s="66" t="n">
        <f aca="false">F12/INDEX(Valeurs!$B$2:$B$40,MATCH(E12,Valeurs!$A$2:$A$40,0))*INDEX(Valeurs!$D$2:$D$40,MATCH(E12,Valeurs!$A$2:$A$40,0))</f>
        <v>0</v>
      </c>
      <c r="I12" s="72" t="n">
        <f aca="false">F12/INDEX(Valeurs!$B$2:$B$40,MATCH(E12,Valeurs!$A$2:$A$40,0))*INDEX(Valeurs!$E$2:$E$40,MATCH(E12,Valeurs!$A$2:$A$40,0))</f>
        <v>0</v>
      </c>
      <c r="J12" s="64" t="n">
        <v>1</v>
      </c>
    </row>
    <row r="13" customFormat="false" ht="15" hidden="false" customHeight="false" outlineLevel="0" collapsed="false">
      <c r="A13" s="70" t="n">
        <v>46296</v>
      </c>
      <c r="B13" s="64" t="s">
        <v>10</v>
      </c>
      <c r="C13" s="64" t="s">
        <v>11</v>
      </c>
      <c r="D13" s="64" t="s">
        <v>7</v>
      </c>
      <c r="E13" s="64" t="s">
        <v>20</v>
      </c>
      <c r="F13" s="71" t="n">
        <f aca="false">Menu!E12</f>
        <v>80</v>
      </c>
      <c r="G13" s="64" t="s">
        <v>15</v>
      </c>
      <c r="H13" s="66" t="n">
        <f aca="false">F13/INDEX(Valeurs!$B$2:$B$40,MATCH(E13,Valeurs!$A$2:$A$40,0))*INDEX(Valeurs!$D$2:$D$40,MATCH(E13,Valeurs!$A$2:$A$40,0))</f>
        <v>14.4</v>
      </c>
      <c r="I13" s="72" t="n">
        <f aca="false">F13/INDEX(Valeurs!$B$2:$B$40,MATCH(E13,Valeurs!$A$2:$A$40,0))*INDEX(Valeurs!$E$2:$E$40,MATCH(E13,Valeurs!$A$2:$A$40,0))</f>
        <v>0.72</v>
      </c>
      <c r="J13" s="64" t="n">
        <v>1</v>
      </c>
    </row>
    <row r="14" customFormat="false" ht="15" hidden="false" customHeight="false" outlineLevel="0" collapsed="false">
      <c r="A14" s="70" t="n">
        <v>46296</v>
      </c>
      <c r="B14" s="64" t="s">
        <v>10</v>
      </c>
      <c r="C14" s="64" t="s">
        <v>11</v>
      </c>
      <c r="D14" s="64" t="s">
        <v>6</v>
      </c>
      <c r="E14" s="64" t="s">
        <v>21</v>
      </c>
      <c r="F14" s="71" t="n">
        <f aca="false">Menu!D13</f>
        <v>0</v>
      </c>
      <c r="G14" s="64" t="s">
        <v>15</v>
      </c>
      <c r="H14" s="66" t="n">
        <f aca="false">F14/INDEX(Valeurs!$B$2:$B$40,MATCH(E14,Valeurs!$A$2:$A$40,0))*INDEX(Valeurs!$D$2:$D$40,MATCH(E14,Valeurs!$A$2:$A$40,0))</f>
        <v>0</v>
      </c>
      <c r="I14" s="72" t="n">
        <f aca="false">F14/INDEX(Valeurs!$B$2:$B$40,MATCH(E14,Valeurs!$A$2:$A$40,0))*INDEX(Valeurs!$E$2:$E$40,MATCH(E14,Valeurs!$A$2:$A$40,0))</f>
        <v>0</v>
      </c>
      <c r="J14" s="64" t="n">
        <v>1</v>
      </c>
    </row>
    <row r="15" customFormat="false" ht="15" hidden="false" customHeight="false" outlineLevel="0" collapsed="false">
      <c r="A15" s="70" t="n">
        <v>46296</v>
      </c>
      <c r="B15" s="64" t="s">
        <v>10</v>
      </c>
      <c r="C15" s="64" t="s">
        <v>11</v>
      </c>
      <c r="D15" s="64" t="s">
        <v>7</v>
      </c>
      <c r="E15" s="64" t="s">
        <v>21</v>
      </c>
      <c r="F15" s="71" t="n">
        <f aca="false">Menu!E13</f>
        <v>40</v>
      </c>
      <c r="G15" s="64" t="s">
        <v>15</v>
      </c>
      <c r="H15" s="66" t="n">
        <f aca="false">F15/INDEX(Valeurs!$B$2:$B$40,MATCH(E15,Valeurs!$A$2:$A$40,0))*INDEX(Valeurs!$D$2:$D$40,MATCH(E15,Valeurs!$A$2:$A$40,0))</f>
        <v>96</v>
      </c>
      <c r="I15" s="72" t="n">
        <f aca="false">F15/INDEX(Valeurs!$B$2:$B$40,MATCH(E15,Valeurs!$A$2:$A$40,0))*INDEX(Valeurs!$E$2:$E$40,MATCH(E15,Valeurs!$A$2:$A$40,0))</f>
        <v>3.6</v>
      </c>
      <c r="J15" s="64" t="n">
        <v>1</v>
      </c>
    </row>
    <row r="16" customFormat="false" ht="15" hidden="false" customHeight="false" outlineLevel="0" collapsed="false">
      <c r="A16" s="70" t="n">
        <v>46296</v>
      </c>
      <c r="B16" s="64" t="s">
        <v>10</v>
      </c>
      <c r="C16" s="64" t="s">
        <v>11</v>
      </c>
      <c r="D16" s="64" t="s">
        <v>6</v>
      </c>
      <c r="E16" s="64" t="s">
        <v>22</v>
      </c>
      <c r="F16" s="71" t="n">
        <f aca="false">Menu!D14</f>
        <v>0</v>
      </c>
      <c r="G16" s="64" t="s">
        <v>15</v>
      </c>
      <c r="H16" s="66" t="n">
        <f aca="false">F16/INDEX(Valeurs!$B$2:$B$40,MATCH(E16,Valeurs!$A$2:$A$40,0))*INDEX(Valeurs!$D$2:$D$40,MATCH(E16,Valeurs!$A$2:$A$40,0))</f>
        <v>0</v>
      </c>
      <c r="I16" s="72" t="n">
        <f aca="false">F16/INDEX(Valeurs!$B$2:$B$40,MATCH(E16,Valeurs!$A$2:$A$40,0))*INDEX(Valeurs!$E$2:$E$40,MATCH(E16,Valeurs!$A$2:$A$40,0))</f>
        <v>0</v>
      </c>
      <c r="J16" s="64" t="n">
        <v>1</v>
      </c>
    </row>
    <row r="17" customFormat="false" ht="15" hidden="false" customHeight="false" outlineLevel="0" collapsed="false">
      <c r="A17" s="70" t="n">
        <v>46296</v>
      </c>
      <c r="B17" s="64" t="s">
        <v>10</v>
      </c>
      <c r="C17" s="64" t="s">
        <v>11</v>
      </c>
      <c r="D17" s="64" t="s">
        <v>7</v>
      </c>
      <c r="E17" s="64" t="s">
        <v>22</v>
      </c>
      <c r="F17" s="71" t="n">
        <f aca="false">Menu!E14</f>
        <v>150</v>
      </c>
      <c r="G17" s="64" t="s">
        <v>15</v>
      </c>
      <c r="H17" s="66" t="n">
        <f aca="false">F17/INDEX(Valeurs!$B$2:$B$40,MATCH(E17,Valeurs!$A$2:$A$40,0))*INDEX(Valeurs!$D$2:$D$40,MATCH(E17,Valeurs!$A$2:$A$40,0))</f>
        <v>78</v>
      </c>
      <c r="I17" s="72" t="n">
        <f aca="false">F17/INDEX(Valeurs!$B$2:$B$40,MATCH(E17,Valeurs!$A$2:$A$40,0))*INDEX(Valeurs!$E$2:$E$40,MATCH(E17,Valeurs!$A$2:$A$40,0))</f>
        <v>0.45</v>
      </c>
      <c r="J17" s="64" t="n">
        <v>1</v>
      </c>
    </row>
    <row r="18" customFormat="false" ht="15" hidden="false" customHeight="false" outlineLevel="0" collapsed="false">
      <c r="A18" s="70" t="n">
        <v>46296</v>
      </c>
      <c r="B18" s="64" t="s">
        <v>23</v>
      </c>
      <c r="C18" s="64" t="s">
        <v>24</v>
      </c>
      <c r="D18" s="64" t="s">
        <v>6</v>
      </c>
      <c r="E18" s="64" t="s">
        <v>25</v>
      </c>
      <c r="F18" s="71" t="n">
        <f aca="false">Menu!D15</f>
        <v>150</v>
      </c>
      <c r="G18" s="64" t="s">
        <v>15</v>
      </c>
      <c r="H18" s="66" t="n">
        <f aca="false">F18/INDEX(Valeurs!$B$2:$B$40,MATCH(E18,Valeurs!$A$2:$A$40,0))*INDEX(Valeurs!$D$2:$D$40,MATCH(E18,Valeurs!$A$2:$A$40,0))</f>
        <v>172.5</v>
      </c>
      <c r="I18" s="72" t="n">
        <f aca="false">F18/INDEX(Valeurs!$B$2:$B$40,MATCH(E18,Valeurs!$A$2:$A$40,0))*INDEX(Valeurs!$E$2:$E$40,MATCH(E18,Valeurs!$A$2:$A$40,0))</f>
        <v>34.5</v>
      </c>
      <c r="J18" s="64" t="n">
        <v>1</v>
      </c>
    </row>
    <row r="19" customFormat="false" ht="15" hidden="false" customHeight="false" outlineLevel="0" collapsed="false">
      <c r="A19" s="70" t="n">
        <v>46296</v>
      </c>
      <c r="B19" s="64" t="s">
        <v>23</v>
      </c>
      <c r="C19" s="64" t="s">
        <v>24</v>
      </c>
      <c r="D19" s="64" t="s">
        <v>7</v>
      </c>
      <c r="E19" s="64" t="s">
        <v>25</v>
      </c>
      <c r="F19" s="71" t="n">
        <f aca="false">Menu!E15</f>
        <v>120</v>
      </c>
      <c r="G19" s="64" t="s">
        <v>15</v>
      </c>
      <c r="H19" s="66" t="n">
        <f aca="false">F19/INDEX(Valeurs!$B$2:$B$40,MATCH(E19,Valeurs!$A$2:$A$40,0))*INDEX(Valeurs!$D$2:$D$40,MATCH(E19,Valeurs!$A$2:$A$40,0))</f>
        <v>138</v>
      </c>
      <c r="I19" s="72" t="n">
        <f aca="false">F19/INDEX(Valeurs!$B$2:$B$40,MATCH(E19,Valeurs!$A$2:$A$40,0))*INDEX(Valeurs!$E$2:$E$40,MATCH(E19,Valeurs!$A$2:$A$40,0))</f>
        <v>27.6</v>
      </c>
      <c r="J19" s="64" t="n">
        <v>1</v>
      </c>
    </row>
    <row r="20" customFormat="false" ht="15" hidden="false" customHeight="false" outlineLevel="0" collapsed="false">
      <c r="A20" s="70" t="n">
        <v>46296</v>
      </c>
      <c r="B20" s="64" t="s">
        <v>23</v>
      </c>
      <c r="C20" s="64" t="s">
        <v>24</v>
      </c>
      <c r="D20" s="64" t="s">
        <v>6</v>
      </c>
      <c r="E20" s="64" t="s">
        <v>26</v>
      </c>
      <c r="F20" s="71" t="n">
        <f aca="false">Menu!D16</f>
        <v>360</v>
      </c>
      <c r="G20" s="64" t="s">
        <v>15</v>
      </c>
      <c r="H20" s="66" t="n">
        <f aca="false">F20/INDEX(Valeurs!$B$2:$B$40,MATCH(E20,Valeurs!$A$2:$A$40,0))*INDEX(Valeurs!$D$2:$D$40,MATCH(E20,Valeurs!$A$2:$A$40,0))</f>
        <v>288</v>
      </c>
      <c r="I20" s="72" t="n">
        <f aca="false">F20/INDEX(Valeurs!$B$2:$B$40,MATCH(E20,Valeurs!$A$2:$A$40,0))*INDEX(Valeurs!$E$2:$E$40,MATCH(E20,Valeurs!$A$2:$A$40,0))</f>
        <v>7.2</v>
      </c>
      <c r="J20" s="64" t="n">
        <v>1</v>
      </c>
    </row>
    <row r="21" customFormat="false" ht="15" hidden="false" customHeight="false" outlineLevel="0" collapsed="false">
      <c r="A21" s="70" t="n">
        <v>46296</v>
      </c>
      <c r="B21" s="64" t="s">
        <v>23</v>
      </c>
      <c r="C21" s="64" t="s">
        <v>24</v>
      </c>
      <c r="D21" s="64" t="s">
        <v>7</v>
      </c>
      <c r="E21" s="64" t="s">
        <v>26</v>
      </c>
      <c r="F21" s="71" t="n">
        <f aca="false">Menu!E16</f>
        <v>170</v>
      </c>
      <c r="G21" s="64" t="s">
        <v>15</v>
      </c>
      <c r="H21" s="66" t="n">
        <f aca="false">F21/INDEX(Valeurs!$B$2:$B$40,MATCH(E21,Valeurs!$A$2:$A$40,0))*INDEX(Valeurs!$D$2:$D$40,MATCH(E21,Valeurs!$A$2:$A$40,0))</f>
        <v>136</v>
      </c>
      <c r="I21" s="72" t="n">
        <f aca="false">F21/INDEX(Valeurs!$B$2:$B$40,MATCH(E21,Valeurs!$A$2:$A$40,0))*INDEX(Valeurs!$E$2:$E$40,MATCH(E21,Valeurs!$A$2:$A$40,0))</f>
        <v>3.4</v>
      </c>
      <c r="J21" s="64" t="n">
        <v>1</v>
      </c>
    </row>
    <row r="22" customFormat="false" ht="15" hidden="false" customHeight="false" outlineLevel="0" collapsed="false">
      <c r="A22" s="70" t="n">
        <v>46296</v>
      </c>
      <c r="B22" s="64" t="s">
        <v>23</v>
      </c>
      <c r="C22" s="64" t="s">
        <v>24</v>
      </c>
      <c r="D22" s="64" t="s">
        <v>6</v>
      </c>
      <c r="E22" s="64" t="s">
        <v>27</v>
      </c>
      <c r="F22" s="71" t="n">
        <f aca="false">Menu!D17</f>
        <v>250</v>
      </c>
      <c r="G22" s="64" t="s">
        <v>15</v>
      </c>
      <c r="H22" s="66" t="n">
        <f aca="false">F22/INDEX(Valeurs!$B$2:$B$40,MATCH(E22,Valeurs!$A$2:$A$40,0))*INDEX(Valeurs!$D$2:$D$40,MATCH(E22,Valeurs!$A$2:$A$40,0))</f>
        <v>77.5</v>
      </c>
      <c r="I22" s="72" t="n">
        <f aca="false">F22/INDEX(Valeurs!$B$2:$B$40,MATCH(E22,Valeurs!$A$2:$A$40,0))*INDEX(Valeurs!$E$2:$E$40,MATCH(E22,Valeurs!$A$2:$A$40,0))</f>
        <v>4.5</v>
      </c>
      <c r="J22" s="64" t="n">
        <v>1</v>
      </c>
    </row>
    <row r="23" customFormat="false" ht="15" hidden="false" customHeight="false" outlineLevel="0" collapsed="false">
      <c r="A23" s="70" t="n">
        <v>46296</v>
      </c>
      <c r="B23" s="64" t="s">
        <v>23</v>
      </c>
      <c r="C23" s="64" t="s">
        <v>24</v>
      </c>
      <c r="D23" s="64" t="s">
        <v>7</v>
      </c>
      <c r="E23" s="64" t="s">
        <v>27</v>
      </c>
      <c r="F23" s="71" t="n">
        <f aca="false">Menu!E17</f>
        <v>280</v>
      </c>
      <c r="G23" s="64" t="s">
        <v>15</v>
      </c>
      <c r="H23" s="66" t="n">
        <f aca="false">F23/INDEX(Valeurs!$B$2:$B$40,MATCH(E23,Valeurs!$A$2:$A$40,0))*INDEX(Valeurs!$D$2:$D$40,MATCH(E23,Valeurs!$A$2:$A$40,0))</f>
        <v>86.8</v>
      </c>
      <c r="I23" s="72" t="n">
        <f aca="false">F23/INDEX(Valeurs!$B$2:$B$40,MATCH(E23,Valeurs!$A$2:$A$40,0))*INDEX(Valeurs!$E$2:$E$40,MATCH(E23,Valeurs!$A$2:$A$40,0))</f>
        <v>5.04</v>
      </c>
      <c r="J23" s="64" t="n">
        <v>1</v>
      </c>
    </row>
    <row r="24" customFormat="false" ht="15" hidden="false" customHeight="false" outlineLevel="0" collapsed="false">
      <c r="A24" s="70" t="n">
        <v>46296</v>
      </c>
      <c r="B24" s="64" t="s">
        <v>23</v>
      </c>
      <c r="C24" s="64" t="s">
        <v>24</v>
      </c>
      <c r="D24" s="64" t="s">
        <v>6</v>
      </c>
      <c r="E24" s="64" t="s">
        <v>28</v>
      </c>
      <c r="F24" s="71" t="n">
        <f aca="false">Menu!D18</f>
        <v>10</v>
      </c>
      <c r="G24" s="64" t="s">
        <v>15</v>
      </c>
      <c r="H24" s="66" t="n">
        <f aca="false">F24/INDEX(Valeurs!$B$2:$B$40,MATCH(E24,Valeurs!$A$2:$A$40,0))*INDEX(Valeurs!$D$2:$D$40,MATCH(E24,Valeurs!$A$2:$A$40,0))</f>
        <v>90</v>
      </c>
      <c r="I24" s="72" t="n">
        <f aca="false">F24/INDEX(Valeurs!$B$2:$B$40,MATCH(E24,Valeurs!$A$2:$A$40,0))*INDEX(Valeurs!$E$2:$E$40,MATCH(E24,Valeurs!$A$2:$A$40,0))</f>
        <v>0</v>
      </c>
      <c r="J24" s="64" t="n">
        <v>1</v>
      </c>
    </row>
    <row r="25" customFormat="false" ht="15" hidden="false" customHeight="false" outlineLevel="0" collapsed="false">
      <c r="A25" s="70" t="n">
        <v>46296</v>
      </c>
      <c r="B25" s="64" t="s">
        <v>23</v>
      </c>
      <c r="C25" s="64" t="s">
        <v>24</v>
      </c>
      <c r="D25" s="64" t="s">
        <v>7</v>
      </c>
      <c r="E25" s="64" t="s">
        <v>28</v>
      </c>
      <c r="F25" s="71" t="n">
        <f aca="false">Menu!E18</f>
        <v>7</v>
      </c>
      <c r="G25" s="64" t="s">
        <v>15</v>
      </c>
      <c r="H25" s="66" t="n">
        <f aca="false">F25/INDEX(Valeurs!$B$2:$B$40,MATCH(E25,Valeurs!$A$2:$A$40,0))*INDEX(Valeurs!$D$2:$D$40,MATCH(E25,Valeurs!$A$2:$A$40,0))</f>
        <v>63</v>
      </c>
      <c r="I25" s="72" t="n">
        <f aca="false">F25/INDEX(Valeurs!$B$2:$B$40,MATCH(E25,Valeurs!$A$2:$A$40,0))*INDEX(Valeurs!$E$2:$E$40,MATCH(E25,Valeurs!$A$2:$A$40,0))</f>
        <v>0</v>
      </c>
      <c r="J25" s="64" t="n">
        <v>1</v>
      </c>
    </row>
    <row r="26" customFormat="false" ht="15" hidden="false" customHeight="false" outlineLevel="0" collapsed="false">
      <c r="A26" s="70" t="n">
        <v>46296</v>
      </c>
      <c r="B26" s="64" t="s">
        <v>29</v>
      </c>
      <c r="C26" s="64" t="s">
        <v>30</v>
      </c>
      <c r="D26" s="64" t="s">
        <v>6</v>
      </c>
      <c r="E26" s="64" t="s">
        <v>31</v>
      </c>
      <c r="F26" s="71" t="n">
        <f aca="false">Menu!D19</f>
        <v>150</v>
      </c>
      <c r="G26" s="64" t="s">
        <v>15</v>
      </c>
      <c r="H26" s="66" t="n">
        <f aca="false">F26/INDEX(Valeurs!$B$2:$B$40,MATCH(E26,Valeurs!$A$2:$A$40,0))*INDEX(Valeurs!$D$2:$D$40,MATCH(E26,Valeurs!$A$2:$A$40,0))</f>
        <v>120</v>
      </c>
      <c r="I26" s="72" t="n">
        <f aca="false">F26/INDEX(Valeurs!$B$2:$B$40,MATCH(E26,Valeurs!$A$2:$A$40,0))*INDEX(Valeurs!$E$2:$E$40,MATCH(E26,Valeurs!$A$2:$A$40,0))</f>
        <v>25.5</v>
      </c>
      <c r="J26" s="64" t="n">
        <v>1</v>
      </c>
    </row>
    <row r="27" customFormat="false" ht="15" hidden="false" customHeight="false" outlineLevel="0" collapsed="false">
      <c r="A27" s="70" t="n">
        <v>46296</v>
      </c>
      <c r="B27" s="64" t="s">
        <v>29</v>
      </c>
      <c r="C27" s="64" t="s">
        <v>30</v>
      </c>
      <c r="D27" s="64" t="s">
        <v>7</v>
      </c>
      <c r="E27" s="64" t="s">
        <v>31</v>
      </c>
      <c r="F27" s="71" t="n">
        <f aca="false">Menu!E19</f>
        <v>125</v>
      </c>
      <c r="G27" s="64" t="s">
        <v>15</v>
      </c>
      <c r="H27" s="66" t="n">
        <f aca="false">F27/INDEX(Valeurs!$B$2:$B$40,MATCH(E27,Valeurs!$A$2:$A$40,0))*INDEX(Valeurs!$D$2:$D$40,MATCH(E27,Valeurs!$A$2:$A$40,0))</f>
        <v>100</v>
      </c>
      <c r="I27" s="72" t="n">
        <f aca="false">F27/INDEX(Valeurs!$B$2:$B$40,MATCH(E27,Valeurs!$A$2:$A$40,0))*INDEX(Valeurs!$E$2:$E$40,MATCH(E27,Valeurs!$A$2:$A$40,0))</f>
        <v>21.25</v>
      </c>
      <c r="J27" s="64" t="n">
        <v>1</v>
      </c>
    </row>
    <row r="28" customFormat="false" ht="15" hidden="false" customHeight="false" outlineLevel="0" collapsed="false">
      <c r="A28" s="70" t="n">
        <v>46296</v>
      </c>
      <c r="B28" s="64" t="s">
        <v>29</v>
      </c>
      <c r="C28" s="64" t="s">
        <v>30</v>
      </c>
      <c r="D28" s="64" t="s">
        <v>6</v>
      </c>
      <c r="E28" s="64" t="s">
        <v>32</v>
      </c>
      <c r="F28" s="71" t="n">
        <f aca="false">Menu!D20</f>
        <v>300</v>
      </c>
      <c r="G28" s="64" t="s">
        <v>15</v>
      </c>
      <c r="H28" s="66" t="n">
        <f aca="false">F28/INDEX(Valeurs!$B$2:$B$40,MATCH(E28,Valeurs!$A$2:$A$40,0))*INDEX(Valeurs!$D$2:$D$40,MATCH(E28,Valeurs!$A$2:$A$40,0))</f>
        <v>258</v>
      </c>
      <c r="I28" s="72" t="n">
        <f aca="false">F28/INDEX(Valeurs!$B$2:$B$40,MATCH(E28,Valeurs!$A$2:$A$40,0))*INDEX(Valeurs!$E$2:$E$40,MATCH(E28,Valeurs!$A$2:$A$40,0))</f>
        <v>4.8</v>
      </c>
      <c r="J28" s="64" t="n">
        <v>1</v>
      </c>
    </row>
    <row r="29" customFormat="false" ht="15" hidden="false" customHeight="false" outlineLevel="0" collapsed="false">
      <c r="A29" s="70" t="n">
        <v>46296</v>
      </c>
      <c r="B29" s="64" t="s">
        <v>29</v>
      </c>
      <c r="C29" s="64" t="s">
        <v>30</v>
      </c>
      <c r="D29" s="64" t="s">
        <v>7</v>
      </c>
      <c r="E29" s="64" t="s">
        <v>32</v>
      </c>
      <c r="F29" s="71" t="n">
        <f aca="false">Menu!E20</f>
        <v>140</v>
      </c>
      <c r="G29" s="64" t="s">
        <v>15</v>
      </c>
      <c r="H29" s="66" t="n">
        <f aca="false">F29/INDEX(Valeurs!$B$2:$B$40,MATCH(E29,Valeurs!$A$2:$A$40,0))*INDEX(Valeurs!$D$2:$D$40,MATCH(E29,Valeurs!$A$2:$A$40,0))</f>
        <v>120.4</v>
      </c>
      <c r="I29" s="72" t="n">
        <f aca="false">F29/INDEX(Valeurs!$B$2:$B$40,MATCH(E29,Valeurs!$A$2:$A$40,0))*INDEX(Valeurs!$E$2:$E$40,MATCH(E29,Valeurs!$A$2:$A$40,0))</f>
        <v>2.24</v>
      </c>
      <c r="J29" s="64" t="n">
        <v>1</v>
      </c>
    </row>
    <row r="30" customFormat="false" ht="15" hidden="false" customHeight="false" outlineLevel="0" collapsed="false">
      <c r="A30" s="70" t="n">
        <v>46296</v>
      </c>
      <c r="B30" s="64" t="s">
        <v>29</v>
      </c>
      <c r="C30" s="64" t="s">
        <v>30</v>
      </c>
      <c r="D30" s="64" t="s">
        <v>6</v>
      </c>
      <c r="E30" s="64" t="s">
        <v>33</v>
      </c>
      <c r="F30" s="71" t="n">
        <f aca="false">Menu!D21</f>
        <v>170</v>
      </c>
      <c r="G30" s="64" t="s">
        <v>15</v>
      </c>
      <c r="H30" s="66" t="n">
        <f aca="false">F30/INDEX(Valeurs!$B$2:$B$40,MATCH(E30,Valeurs!$A$2:$A$40,0))*INDEX(Valeurs!$D$2:$D$40,MATCH(E30,Valeurs!$A$2:$A$40,0))</f>
        <v>28.9</v>
      </c>
      <c r="I30" s="72" t="n">
        <f aca="false">F30/INDEX(Valeurs!$B$2:$B$40,MATCH(E30,Valeurs!$A$2:$A$40,0))*INDEX(Valeurs!$E$2:$E$40,MATCH(E30,Valeurs!$A$2:$A$40,0))</f>
        <v>2.04</v>
      </c>
      <c r="J30" s="64" t="n">
        <v>1</v>
      </c>
    </row>
    <row r="31" customFormat="false" ht="15" hidden="false" customHeight="false" outlineLevel="0" collapsed="false">
      <c r="A31" s="70" t="n">
        <v>46296</v>
      </c>
      <c r="B31" s="64" t="s">
        <v>29</v>
      </c>
      <c r="C31" s="64" t="s">
        <v>30</v>
      </c>
      <c r="D31" s="64" t="s">
        <v>7</v>
      </c>
      <c r="E31" s="64" t="s">
        <v>33</v>
      </c>
      <c r="F31" s="71" t="n">
        <f aca="false">Menu!E21</f>
        <v>200</v>
      </c>
      <c r="G31" s="64" t="s">
        <v>15</v>
      </c>
      <c r="H31" s="66" t="n">
        <f aca="false">F31/INDEX(Valeurs!$B$2:$B$40,MATCH(E31,Valeurs!$A$2:$A$40,0))*INDEX(Valeurs!$D$2:$D$40,MATCH(E31,Valeurs!$A$2:$A$40,0))</f>
        <v>34</v>
      </c>
      <c r="I31" s="72" t="n">
        <f aca="false">F31/INDEX(Valeurs!$B$2:$B$40,MATCH(E31,Valeurs!$A$2:$A$40,0))*INDEX(Valeurs!$E$2:$E$40,MATCH(E31,Valeurs!$A$2:$A$40,0))</f>
        <v>2.4</v>
      </c>
      <c r="J31" s="64" t="n">
        <v>1</v>
      </c>
    </row>
    <row r="32" customFormat="false" ht="15" hidden="false" customHeight="false" outlineLevel="0" collapsed="false">
      <c r="A32" s="70" t="n">
        <v>46296</v>
      </c>
      <c r="B32" s="64" t="s">
        <v>29</v>
      </c>
      <c r="C32" s="64" t="s">
        <v>30</v>
      </c>
      <c r="D32" s="64" t="s">
        <v>6</v>
      </c>
      <c r="E32" s="64" t="s">
        <v>34</v>
      </c>
      <c r="F32" s="71" t="n">
        <f aca="false">Menu!D22</f>
        <v>50</v>
      </c>
      <c r="G32" s="64" t="s">
        <v>15</v>
      </c>
      <c r="H32" s="66" t="n">
        <f aca="false">F32/INDEX(Valeurs!$B$2:$B$40,MATCH(E32,Valeurs!$A$2:$A$40,0))*INDEX(Valeurs!$D$2:$D$40,MATCH(E32,Valeurs!$A$2:$A$40,0))</f>
        <v>13.5</v>
      </c>
      <c r="I32" s="72" t="n">
        <f aca="false">F32/INDEX(Valeurs!$B$2:$B$40,MATCH(E32,Valeurs!$A$2:$A$40,0))*INDEX(Valeurs!$E$2:$E$40,MATCH(E32,Valeurs!$A$2:$A$40,0))</f>
        <v>0.5</v>
      </c>
      <c r="J32" s="64" t="n">
        <v>1</v>
      </c>
    </row>
    <row r="33" customFormat="false" ht="15" hidden="false" customHeight="false" outlineLevel="0" collapsed="false">
      <c r="A33" s="70" t="n">
        <v>46296</v>
      </c>
      <c r="B33" s="64" t="s">
        <v>29</v>
      </c>
      <c r="C33" s="64" t="s">
        <v>30</v>
      </c>
      <c r="D33" s="64" t="s">
        <v>7</v>
      </c>
      <c r="E33" s="64" t="s">
        <v>34</v>
      </c>
      <c r="F33" s="71" t="n">
        <f aca="false">Menu!E22</f>
        <v>60</v>
      </c>
      <c r="G33" s="64" t="s">
        <v>15</v>
      </c>
      <c r="H33" s="66" t="n">
        <f aca="false">F33/INDEX(Valeurs!$B$2:$B$40,MATCH(E33,Valeurs!$A$2:$A$40,0))*INDEX(Valeurs!$D$2:$D$40,MATCH(E33,Valeurs!$A$2:$A$40,0))</f>
        <v>16.2</v>
      </c>
      <c r="I33" s="72" t="n">
        <f aca="false">F33/INDEX(Valeurs!$B$2:$B$40,MATCH(E33,Valeurs!$A$2:$A$40,0))*INDEX(Valeurs!$E$2:$E$40,MATCH(E33,Valeurs!$A$2:$A$40,0))</f>
        <v>0.6</v>
      </c>
      <c r="J33" s="64" t="n">
        <v>1</v>
      </c>
    </row>
    <row r="34" customFormat="false" ht="15" hidden="false" customHeight="false" outlineLevel="0" collapsed="false">
      <c r="A34" s="70" t="n">
        <v>46296</v>
      </c>
      <c r="B34" s="64" t="s">
        <v>29</v>
      </c>
      <c r="C34" s="64" t="s">
        <v>30</v>
      </c>
      <c r="D34" s="64" t="s">
        <v>6</v>
      </c>
      <c r="E34" s="64" t="s">
        <v>35</v>
      </c>
      <c r="F34" s="71" t="n">
        <f aca="false">Menu!D23</f>
        <v>20</v>
      </c>
      <c r="G34" s="64" t="s">
        <v>15</v>
      </c>
      <c r="H34" s="66" t="n">
        <f aca="false">F34/INDEX(Valeurs!$B$2:$B$40,MATCH(E34,Valeurs!$A$2:$A$40,0))*INDEX(Valeurs!$D$2:$D$40,MATCH(E34,Valeurs!$A$2:$A$40,0))</f>
        <v>8</v>
      </c>
      <c r="I34" s="72" t="n">
        <f aca="false">F34/INDEX(Valeurs!$B$2:$B$40,MATCH(E34,Valeurs!$A$2:$A$40,0))*INDEX(Valeurs!$E$2:$E$40,MATCH(E34,Valeurs!$A$2:$A$40,0))</f>
        <v>0.22</v>
      </c>
      <c r="J34" s="64" t="n">
        <v>1</v>
      </c>
    </row>
    <row r="35" customFormat="false" ht="15" hidden="false" customHeight="false" outlineLevel="0" collapsed="false">
      <c r="A35" s="70" t="n">
        <v>46296</v>
      </c>
      <c r="B35" s="64" t="s">
        <v>29</v>
      </c>
      <c r="C35" s="64" t="s">
        <v>30</v>
      </c>
      <c r="D35" s="64" t="s">
        <v>7</v>
      </c>
      <c r="E35" s="64" t="s">
        <v>35</v>
      </c>
      <c r="F35" s="71" t="n">
        <f aca="false">Menu!E23</f>
        <v>20</v>
      </c>
      <c r="G35" s="64" t="s">
        <v>15</v>
      </c>
      <c r="H35" s="66" t="n">
        <f aca="false">F35/INDEX(Valeurs!$B$2:$B$40,MATCH(E35,Valeurs!$A$2:$A$40,0))*INDEX(Valeurs!$D$2:$D$40,MATCH(E35,Valeurs!$A$2:$A$40,0))</f>
        <v>8</v>
      </c>
      <c r="I35" s="72" t="n">
        <f aca="false">F35/INDEX(Valeurs!$B$2:$B$40,MATCH(E35,Valeurs!$A$2:$A$40,0))*INDEX(Valeurs!$E$2:$E$40,MATCH(E35,Valeurs!$A$2:$A$40,0))</f>
        <v>0.22</v>
      </c>
      <c r="J35" s="64" t="n">
        <v>1</v>
      </c>
    </row>
    <row r="36" customFormat="false" ht="15" hidden="false" customHeight="false" outlineLevel="0" collapsed="false">
      <c r="A36" s="70" t="n">
        <v>46296</v>
      </c>
      <c r="B36" s="64" t="s">
        <v>29</v>
      </c>
      <c r="C36" s="64" t="s">
        <v>30</v>
      </c>
      <c r="D36" s="64" t="s">
        <v>6</v>
      </c>
      <c r="E36" s="64" t="s">
        <v>28</v>
      </c>
      <c r="F36" s="71" t="n">
        <f aca="false">Menu!D24</f>
        <v>10</v>
      </c>
      <c r="G36" s="64" t="s">
        <v>15</v>
      </c>
      <c r="H36" s="66" t="n">
        <f aca="false">F36/INDEX(Valeurs!$B$2:$B$40,MATCH(E36,Valeurs!$A$2:$A$40,0))*INDEX(Valeurs!$D$2:$D$40,MATCH(E36,Valeurs!$A$2:$A$40,0))</f>
        <v>90</v>
      </c>
      <c r="I36" s="72" t="n">
        <f aca="false">F36/INDEX(Valeurs!$B$2:$B$40,MATCH(E36,Valeurs!$A$2:$A$40,0))*INDEX(Valeurs!$E$2:$E$40,MATCH(E36,Valeurs!$A$2:$A$40,0))</f>
        <v>0</v>
      </c>
      <c r="J36" s="64" t="n">
        <v>1</v>
      </c>
    </row>
    <row r="37" customFormat="false" ht="15" hidden="false" customHeight="false" outlineLevel="0" collapsed="false">
      <c r="A37" s="70" t="n">
        <v>46296</v>
      </c>
      <c r="B37" s="64" t="s">
        <v>29</v>
      </c>
      <c r="C37" s="64" t="s">
        <v>30</v>
      </c>
      <c r="D37" s="64" t="s">
        <v>7</v>
      </c>
      <c r="E37" s="64" t="s">
        <v>28</v>
      </c>
      <c r="F37" s="71" t="n">
        <f aca="false">Menu!E24</f>
        <v>7</v>
      </c>
      <c r="G37" s="64" t="s">
        <v>15</v>
      </c>
      <c r="H37" s="66" t="n">
        <f aca="false">F37/INDEX(Valeurs!$B$2:$B$40,MATCH(E37,Valeurs!$A$2:$A$40,0))*INDEX(Valeurs!$D$2:$D$40,MATCH(E37,Valeurs!$A$2:$A$40,0))</f>
        <v>63</v>
      </c>
      <c r="I37" s="72" t="n">
        <f aca="false">F37/INDEX(Valeurs!$B$2:$B$40,MATCH(E37,Valeurs!$A$2:$A$40,0))*INDEX(Valeurs!$E$2:$E$40,MATCH(E37,Valeurs!$A$2:$A$40,0))</f>
        <v>0</v>
      </c>
      <c r="J37" s="64" t="n">
        <v>1</v>
      </c>
    </row>
    <row r="38" customFormat="false" ht="15" hidden="false" customHeight="false" outlineLevel="0" collapsed="false">
      <c r="A38" s="70" t="n">
        <v>46296</v>
      </c>
      <c r="B38" s="64" t="s">
        <v>36</v>
      </c>
      <c r="C38" s="64" t="s">
        <v>37</v>
      </c>
      <c r="D38" s="64" t="s">
        <v>6</v>
      </c>
      <c r="E38" s="64" t="s">
        <v>38</v>
      </c>
      <c r="F38" s="71" t="n">
        <f aca="false">Menu!D25</f>
        <v>125</v>
      </c>
      <c r="G38" s="64" t="s">
        <v>15</v>
      </c>
      <c r="H38" s="66" t="n">
        <f aca="false">F38/INDEX(Valeurs!$B$2:$B$40,MATCH(E38,Valeurs!$A$2:$A$40,0))*INDEX(Valeurs!$D$2:$D$40,MATCH(E38,Valeurs!$A$2:$A$40,0))</f>
        <v>75</v>
      </c>
      <c r="I38" s="72" t="n">
        <f aca="false">F38/INDEX(Valeurs!$B$2:$B$40,MATCH(E38,Valeurs!$A$2:$A$40,0))*INDEX(Valeurs!$E$2:$E$40,MATCH(E38,Valeurs!$A$2:$A$40,0))</f>
        <v>5.625</v>
      </c>
      <c r="J38" s="64" t="n">
        <v>1</v>
      </c>
    </row>
    <row r="39" customFormat="false" ht="15" hidden="false" customHeight="false" outlineLevel="0" collapsed="false">
      <c r="A39" s="70" t="n">
        <v>46296</v>
      </c>
      <c r="B39" s="64" t="s">
        <v>36</v>
      </c>
      <c r="C39" s="64" t="s">
        <v>37</v>
      </c>
      <c r="D39" s="64" t="s">
        <v>7</v>
      </c>
      <c r="E39" s="64" t="s">
        <v>38</v>
      </c>
      <c r="F39" s="71" t="n">
        <f aca="false">Menu!E25</f>
        <v>125</v>
      </c>
      <c r="G39" s="64" t="s">
        <v>15</v>
      </c>
      <c r="H39" s="66" t="n">
        <f aca="false">F39/INDEX(Valeurs!$B$2:$B$40,MATCH(E39,Valeurs!$A$2:$A$40,0))*INDEX(Valeurs!$D$2:$D$40,MATCH(E39,Valeurs!$A$2:$A$40,0))</f>
        <v>75</v>
      </c>
      <c r="I39" s="72" t="n">
        <f aca="false">F39/INDEX(Valeurs!$B$2:$B$40,MATCH(E39,Valeurs!$A$2:$A$40,0))*INDEX(Valeurs!$E$2:$E$40,MATCH(E39,Valeurs!$A$2:$A$40,0))</f>
        <v>5.625</v>
      </c>
      <c r="J39" s="64" t="n">
        <v>1</v>
      </c>
    </row>
    <row r="40" customFormat="false" ht="15" hidden="false" customHeight="false" outlineLevel="0" collapsed="false">
      <c r="A40" s="70" t="n">
        <v>46296</v>
      </c>
      <c r="B40" s="64" t="s">
        <v>36</v>
      </c>
      <c r="C40" s="64" t="s">
        <v>37</v>
      </c>
      <c r="D40" s="64" t="s">
        <v>6</v>
      </c>
      <c r="E40" s="64" t="s">
        <v>39</v>
      </c>
      <c r="F40" s="71" t="n">
        <f aca="false">Menu!D26</f>
        <v>10</v>
      </c>
      <c r="G40" s="64" t="s">
        <v>15</v>
      </c>
      <c r="H40" s="66" t="n">
        <f aca="false">F40/INDEX(Valeurs!$B$2:$B$40,MATCH(E40,Valeurs!$A$2:$A$40,0))*INDEX(Valeurs!$D$2:$D$40,MATCH(E40,Valeurs!$A$2:$A$40,0))</f>
        <v>58</v>
      </c>
      <c r="I40" s="72" t="n">
        <f aca="false">F40/INDEX(Valeurs!$B$2:$B$40,MATCH(E40,Valeurs!$A$2:$A$40,0))*INDEX(Valeurs!$E$2:$E$40,MATCH(E40,Valeurs!$A$2:$A$40,0))</f>
        <v>0.75</v>
      </c>
      <c r="J40" s="64" t="n">
        <v>1</v>
      </c>
    </row>
    <row r="41" customFormat="false" ht="15" hidden="false" customHeight="false" outlineLevel="0" collapsed="false">
      <c r="A41" s="70" t="n">
        <v>46296</v>
      </c>
      <c r="B41" s="64" t="s">
        <v>36</v>
      </c>
      <c r="C41" s="64" t="s">
        <v>37</v>
      </c>
      <c r="D41" s="64" t="s">
        <v>7</v>
      </c>
      <c r="E41" s="64" t="s">
        <v>39</v>
      </c>
      <c r="F41" s="71" t="n">
        <f aca="false">Menu!E26</f>
        <v>10</v>
      </c>
      <c r="G41" s="64" t="s">
        <v>15</v>
      </c>
      <c r="H41" s="66" t="n">
        <f aca="false">F41/INDEX(Valeurs!$B$2:$B$40,MATCH(E41,Valeurs!$A$2:$A$40,0))*INDEX(Valeurs!$D$2:$D$40,MATCH(E41,Valeurs!$A$2:$A$40,0))</f>
        <v>58</v>
      </c>
      <c r="I41" s="72" t="n">
        <f aca="false">F41/INDEX(Valeurs!$B$2:$B$40,MATCH(E41,Valeurs!$A$2:$A$40,0))*INDEX(Valeurs!$E$2:$E$40,MATCH(E41,Valeurs!$A$2:$A$40,0))</f>
        <v>0.75</v>
      </c>
      <c r="J41" s="64" t="n">
        <v>1</v>
      </c>
    </row>
    <row r="42" customFormat="false" ht="15" hidden="false" customHeight="false" outlineLevel="0" collapsed="false">
      <c r="A42" s="70" t="n">
        <v>46297</v>
      </c>
      <c r="B42" s="64" t="s">
        <v>10</v>
      </c>
      <c r="C42" s="64" t="s">
        <v>11</v>
      </c>
      <c r="D42" s="64" t="s">
        <v>6</v>
      </c>
      <c r="E42" s="64" t="s">
        <v>12</v>
      </c>
      <c r="F42" s="71" t="n">
        <f aca="false">Menu!D29</f>
        <v>250</v>
      </c>
      <c r="G42" s="64" t="s">
        <v>13</v>
      </c>
      <c r="H42" s="66" t="n">
        <f aca="false">F42/INDEX(Valeurs!$B$2:$B$40,MATCH(E42,Valeurs!$A$2:$A$40,0))*INDEX(Valeurs!$D$2:$D$40,MATCH(E42,Valeurs!$A$2:$A$40,0))</f>
        <v>115</v>
      </c>
      <c r="I42" s="72" t="n">
        <f aca="false">F42/INDEX(Valeurs!$B$2:$B$40,MATCH(E42,Valeurs!$A$2:$A$40,0))*INDEX(Valeurs!$E$2:$E$40,MATCH(E42,Valeurs!$A$2:$A$40,0))</f>
        <v>8.25</v>
      </c>
      <c r="J42" s="64" t="n">
        <v>1</v>
      </c>
    </row>
    <row r="43" customFormat="false" ht="15" hidden="false" customHeight="false" outlineLevel="0" collapsed="false">
      <c r="A43" s="70" t="n">
        <v>46297</v>
      </c>
      <c r="B43" s="64" t="s">
        <v>10</v>
      </c>
      <c r="C43" s="64" t="s">
        <v>11</v>
      </c>
      <c r="D43" s="64" t="s">
        <v>7</v>
      </c>
      <c r="E43" s="64" t="s">
        <v>12</v>
      </c>
      <c r="F43" s="71" t="n">
        <f aca="false">Menu!E29</f>
        <v>0</v>
      </c>
      <c r="G43" s="64" t="s">
        <v>13</v>
      </c>
      <c r="H43" s="66" t="n">
        <f aca="false">F43/INDEX(Valeurs!$B$2:$B$40,MATCH(E43,Valeurs!$A$2:$A$40,0))*INDEX(Valeurs!$D$2:$D$40,MATCH(E43,Valeurs!$A$2:$A$40,0))</f>
        <v>0</v>
      </c>
      <c r="I43" s="72" t="n">
        <f aca="false">F43/INDEX(Valeurs!$B$2:$B$40,MATCH(E43,Valeurs!$A$2:$A$40,0))*INDEX(Valeurs!$E$2:$E$40,MATCH(E43,Valeurs!$A$2:$A$40,0))</f>
        <v>0</v>
      </c>
      <c r="J43" s="64" t="n">
        <v>1</v>
      </c>
    </row>
    <row r="44" customFormat="false" ht="15" hidden="false" customHeight="false" outlineLevel="0" collapsed="false">
      <c r="A44" s="70" t="n">
        <v>46297</v>
      </c>
      <c r="B44" s="64" t="s">
        <v>10</v>
      </c>
      <c r="C44" s="64" t="s">
        <v>11</v>
      </c>
      <c r="D44" s="64" t="s">
        <v>6</v>
      </c>
      <c r="E44" s="64" t="s">
        <v>14</v>
      </c>
      <c r="F44" s="71" t="n">
        <f aca="false">Menu!D30</f>
        <v>100</v>
      </c>
      <c r="G44" s="64" t="s">
        <v>15</v>
      </c>
      <c r="H44" s="66" t="n">
        <f aca="false">F44/INDEX(Valeurs!$B$2:$B$40,MATCH(E44,Valeurs!$A$2:$A$40,0))*INDEX(Valeurs!$D$2:$D$40,MATCH(E44,Valeurs!$A$2:$A$40,0))</f>
        <v>90</v>
      </c>
      <c r="I44" s="72" t="n">
        <f aca="false">F44/INDEX(Valeurs!$B$2:$B$40,MATCH(E44,Valeurs!$A$2:$A$40,0))*INDEX(Valeurs!$E$2:$E$40,MATCH(E44,Valeurs!$A$2:$A$40,0))</f>
        <v>1.1</v>
      </c>
      <c r="J44" s="64" t="n">
        <v>1</v>
      </c>
    </row>
    <row r="45" customFormat="false" ht="15" hidden="false" customHeight="false" outlineLevel="0" collapsed="false">
      <c r="A45" s="70" t="n">
        <v>46297</v>
      </c>
      <c r="B45" s="64" t="s">
        <v>10</v>
      </c>
      <c r="C45" s="64" t="s">
        <v>11</v>
      </c>
      <c r="D45" s="64" t="s">
        <v>7</v>
      </c>
      <c r="E45" s="64" t="s">
        <v>14</v>
      </c>
      <c r="F45" s="71" t="n">
        <f aca="false">Menu!E30</f>
        <v>0</v>
      </c>
      <c r="G45" s="64" t="s">
        <v>15</v>
      </c>
      <c r="H45" s="66" t="n">
        <f aca="false">F45/INDEX(Valeurs!$B$2:$B$40,MATCH(E45,Valeurs!$A$2:$A$40,0))*INDEX(Valeurs!$D$2:$D$40,MATCH(E45,Valeurs!$A$2:$A$40,0))</f>
        <v>0</v>
      </c>
      <c r="I45" s="72" t="n">
        <f aca="false">F45/INDEX(Valeurs!$B$2:$B$40,MATCH(E45,Valeurs!$A$2:$A$40,0))*INDEX(Valeurs!$E$2:$E$40,MATCH(E45,Valeurs!$A$2:$A$40,0))</f>
        <v>0</v>
      </c>
      <c r="J45" s="64" t="n">
        <v>1</v>
      </c>
    </row>
    <row r="46" customFormat="false" ht="15" hidden="false" customHeight="false" outlineLevel="0" collapsed="false">
      <c r="A46" s="70" t="n">
        <v>46297</v>
      </c>
      <c r="B46" s="64" t="s">
        <v>10</v>
      </c>
      <c r="C46" s="64" t="s">
        <v>11</v>
      </c>
      <c r="D46" s="64" t="s">
        <v>6</v>
      </c>
      <c r="E46" s="64" t="s">
        <v>16</v>
      </c>
      <c r="F46" s="71" t="n">
        <f aca="false">Menu!D31</f>
        <v>65</v>
      </c>
      <c r="G46" s="64" t="s">
        <v>15</v>
      </c>
      <c r="H46" s="66" t="n">
        <f aca="false">F46/INDEX(Valeurs!$B$2:$B$40,MATCH(E46,Valeurs!$A$2:$A$40,0))*INDEX(Valeurs!$D$2:$D$40,MATCH(E46,Valeurs!$A$2:$A$40,0))</f>
        <v>241.8</v>
      </c>
      <c r="I46" s="72" t="n">
        <f aca="false">F46/INDEX(Valeurs!$B$2:$B$40,MATCH(E46,Valeurs!$A$2:$A$40,0))*INDEX(Valeurs!$E$2:$E$40,MATCH(E46,Valeurs!$A$2:$A$40,0))</f>
        <v>8.775</v>
      </c>
      <c r="J46" s="64" t="n">
        <v>1</v>
      </c>
    </row>
    <row r="47" customFormat="false" ht="15" hidden="false" customHeight="false" outlineLevel="0" collapsed="false">
      <c r="A47" s="70" t="n">
        <v>46297</v>
      </c>
      <c r="B47" s="64" t="s">
        <v>10</v>
      </c>
      <c r="C47" s="64" t="s">
        <v>11</v>
      </c>
      <c r="D47" s="64" t="s">
        <v>7</v>
      </c>
      <c r="E47" s="64" t="s">
        <v>16</v>
      </c>
      <c r="F47" s="71" t="n">
        <f aca="false">Menu!E31</f>
        <v>0</v>
      </c>
      <c r="G47" s="64" t="s">
        <v>15</v>
      </c>
      <c r="H47" s="66" t="n">
        <f aca="false">F47/INDEX(Valeurs!$B$2:$B$40,MATCH(E47,Valeurs!$A$2:$A$40,0))*INDEX(Valeurs!$D$2:$D$40,MATCH(E47,Valeurs!$A$2:$A$40,0))</f>
        <v>0</v>
      </c>
      <c r="I47" s="72" t="n">
        <f aca="false">F47/INDEX(Valeurs!$B$2:$B$40,MATCH(E47,Valeurs!$A$2:$A$40,0))*INDEX(Valeurs!$E$2:$E$40,MATCH(E47,Valeurs!$A$2:$A$40,0))</f>
        <v>0</v>
      </c>
      <c r="J47" s="64" t="n">
        <v>1</v>
      </c>
    </row>
    <row r="48" customFormat="false" ht="15" hidden="false" customHeight="false" outlineLevel="0" collapsed="false">
      <c r="A48" s="70" t="n">
        <v>46297</v>
      </c>
      <c r="B48" s="64" t="s">
        <v>10</v>
      </c>
      <c r="C48" s="64" t="s">
        <v>11</v>
      </c>
      <c r="D48" s="64" t="s">
        <v>6</v>
      </c>
      <c r="E48" s="64" t="s">
        <v>17</v>
      </c>
      <c r="F48" s="71" t="n">
        <f aca="false">Menu!D32</f>
        <v>1</v>
      </c>
      <c r="G48" s="64" t="s">
        <v>171</v>
      </c>
      <c r="H48" s="66" t="n">
        <f aca="false">F48/INDEX(Valeurs!$B$2:$B$40,MATCH(E48,Valeurs!$A$2:$A$40,0))*INDEX(Valeurs!$D$2:$D$40,MATCH(E48,Valeurs!$A$2:$A$40,0))</f>
        <v>87</v>
      </c>
      <c r="I48" s="72" t="n">
        <f aca="false">F48/INDEX(Valeurs!$B$2:$B$40,MATCH(E48,Valeurs!$A$2:$A$40,0))*INDEX(Valeurs!$E$2:$E$40,MATCH(E48,Valeurs!$A$2:$A$40,0))</f>
        <v>7.5</v>
      </c>
      <c r="J48" s="64" t="n">
        <v>1</v>
      </c>
    </row>
    <row r="49" customFormat="false" ht="15" hidden="false" customHeight="false" outlineLevel="0" collapsed="false">
      <c r="A49" s="70" t="n">
        <v>46297</v>
      </c>
      <c r="B49" s="64" t="s">
        <v>10</v>
      </c>
      <c r="C49" s="64" t="s">
        <v>11</v>
      </c>
      <c r="D49" s="64" t="s">
        <v>7</v>
      </c>
      <c r="E49" s="64" t="s">
        <v>17</v>
      </c>
      <c r="F49" s="71" t="n">
        <f aca="false">Menu!E32</f>
        <v>2</v>
      </c>
      <c r="G49" s="64" t="s">
        <v>171</v>
      </c>
      <c r="H49" s="66" t="n">
        <f aca="false">F49/INDEX(Valeurs!$B$2:$B$40,MATCH(E49,Valeurs!$A$2:$A$40,0))*INDEX(Valeurs!$D$2:$D$40,MATCH(E49,Valeurs!$A$2:$A$40,0))</f>
        <v>174</v>
      </c>
      <c r="I49" s="72" t="n">
        <f aca="false">F49/INDEX(Valeurs!$B$2:$B$40,MATCH(E49,Valeurs!$A$2:$A$40,0))*INDEX(Valeurs!$E$2:$E$40,MATCH(E49,Valeurs!$A$2:$A$40,0))</f>
        <v>15</v>
      </c>
      <c r="J49" s="64" t="n">
        <v>1</v>
      </c>
    </row>
    <row r="50" customFormat="false" ht="15" hidden="false" customHeight="false" outlineLevel="0" collapsed="false">
      <c r="A50" s="70" t="n">
        <v>46297</v>
      </c>
      <c r="B50" s="64" t="s">
        <v>10</v>
      </c>
      <c r="C50" s="64" t="s">
        <v>11</v>
      </c>
      <c r="D50" s="64" t="s">
        <v>6</v>
      </c>
      <c r="E50" s="64" t="s">
        <v>19</v>
      </c>
      <c r="F50" s="71" t="n">
        <f aca="false">Menu!D33</f>
        <v>0</v>
      </c>
      <c r="G50" s="64" t="s">
        <v>15</v>
      </c>
      <c r="H50" s="66" t="n">
        <f aca="false">F50/INDEX(Valeurs!$B$2:$B$40,MATCH(E50,Valeurs!$A$2:$A$40,0))*INDEX(Valeurs!$D$2:$D$40,MATCH(E50,Valeurs!$A$2:$A$40,0))</f>
        <v>0</v>
      </c>
      <c r="I50" s="72" t="n">
        <f aca="false">F50/INDEX(Valeurs!$B$2:$B$40,MATCH(E50,Valeurs!$A$2:$A$40,0))*INDEX(Valeurs!$E$2:$E$40,MATCH(E50,Valeurs!$A$2:$A$40,0))</f>
        <v>0</v>
      </c>
      <c r="J50" s="64" t="n">
        <v>1</v>
      </c>
    </row>
    <row r="51" customFormat="false" ht="15" hidden="false" customHeight="false" outlineLevel="0" collapsed="false">
      <c r="A51" s="70" t="n">
        <v>46297</v>
      </c>
      <c r="B51" s="64" t="s">
        <v>10</v>
      </c>
      <c r="C51" s="64" t="s">
        <v>11</v>
      </c>
      <c r="D51" s="64" t="s">
        <v>7</v>
      </c>
      <c r="E51" s="64" t="s">
        <v>19</v>
      </c>
      <c r="F51" s="71" t="n">
        <f aca="false">Menu!E33</f>
        <v>30</v>
      </c>
      <c r="G51" s="64" t="s">
        <v>15</v>
      </c>
      <c r="H51" s="66" t="n">
        <f aca="false">F51/INDEX(Valeurs!$B$2:$B$40,MATCH(E51,Valeurs!$A$2:$A$40,0))*INDEX(Valeurs!$D$2:$D$40,MATCH(E51,Valeurs!$A$2:$A$40,0))</f>
        <v>33</v>
      </c>
      <c r="I51" s="72" t="n">
        <f aca="false">F51/INDEX(Valeurs!$B$2:$B$40,MATCH(E51,Valeurs!$A$2:$A$40,0))*INDEX(Valeurs!$E$2:$E$40,MATCH(E51,Valeurs!$A$2:$A$40,0))</f>
        <v>6</v>
      </c>
      <c r="J51" s="64" t="n">
        <v>1</v>
      </c>
    </row>
    <row r="52" customFormat="false" ht="15" hidden="false" customHeight="false" outlineLevel="0" collapsed="false">
      <c r="A52" s="70" t="n">
        <v>46297</v>
      </c>
      <c r="B52" s="64" t="s">
        <v>10</v>
      </c>
      <c r="C52" s="64" t="s">
        <v>11</v>
      </c>
      <c r="D52" s="64" t="s">
        <v>6</v>
      </c>
      <c r="E52" s="64" t="s">
        <v>20</v>
      </c>
      <c r="F52" s="71" t="n">
        <f aca="false">Menu!D34</f>
        <v>0</v>
      </c>
      <c r="G52" s="64" t="s">
        <v>15</v>
      </c>
      <c r="H52" s="66" t="n">
        <f aca="false">F52/INDEX(Valeurs!$B$2:$B$40,MATCH(E52,Valeurs!$A$2:$A$40,0))*INDEX(Valeurs!$D$2:$D$40,MATCH(E52,Valeurs!$A$2:$A$40,0))</f>
        <v>0</v>
      </c>
      <c r="I52" s="72" t="n">
        <f aca="false">F52/INDEX(Valeurs!$B$2:$B$40,MATCH(E52,Valeurs!$A$2:$A$40,0))*INDEX(Valeurs!$E$2:$E$40,MATCH(E52,Valeurs!$A$2:$A$40,0))</f>
        <v>0</v>
      </c>
      <c r="J52" s="64" t="n">
        <v>1</v>
      </c>
    </row>
    <row r="53" customFormat="false" ht="15" hidden="false" customHeight="false" outlineLevel="0" collapsed="false">
      <c r="A53" s="70" t="n">
        <v>46297</v>
      </c>
      <c r="B53" s="64" t="s">
        <v>10</v>
      </c>
      <c r="C53" s="64" t="s">
        <v>11</v>
      </c>
      <c r="D53" s="64" t="s">
        <v>7</v>
      </c>
      <c r="E53" s="64" t="s">
        <v>20</v>
      </c>
      <c r="F53" s="71" t="n">
        <f aca="false">Menu!E34</f>
        <v>80</v>
      </c>
      <c r="G53" s="64" t="s">
        <v>15</v>
      </c>
      <c r="H53" s="66" t="n">
        <f aca="false">F53/INDEX(Valeurs!$B$2:$B$40,MATCH(E53,Valeurs!$A$2:$A$40,0))*INDEX(Valeurs!$D$2:$D$40,MATCH(E53,Valeurs!$A$2:$A$40,0))</f>
        <v>14.4</v>
      </c>
      <c r="I53" s="72" t="n">
        <f aca="false">F53/INDEX(Valeurs!$B$2:$B$40,MATCH(E53,Valeurs!$A$2:$A$40,0))*INDEX(Valeurs!$E$2:$E$40,MATCH(E53,Valeurs!$A$2:$A$40,0))</f>
        <v>0.72</v>
      </c>
      <c r="J53" s="64" t="n">
        <v>1</v>
      </c>
    </row>
    <row r="54" customFormat="false" ht="15" hidden="false" customHeight="false" outlineLevel="0" collapsed="false">
      <c r="A54" s="70" t="n">
        <v>46297</v>
      </c>
      <c r="B54" s="64" t="s">
        <v>10</v>
      </c>
      <c r="C54" s="64" t="s">
        <v>11</v>
      </c>
      <c r="D54" s="64" t="s">
        <v>6</v>
      </c>
      <c r="E54" s="64" t="s">
        <v>21</v>
      </c>
      <c r="F54" s="71" t="n">
        <f aca="false">Menu!D35</f>
        <v>0</v>
      </c>
      <c r="G54" s="64" t="s">
        <v>15</v>
      </c>
      <c r="H54" s="66" t="n">
        <f aca="false">F54/INDEX(Valeurs!$B$2:$B$40,MATCH(E54,Valeurs!$A$2:$A$40,0))*INDEX(Valeurs!$D$2:$D$40,MATCH(E54,Valeurs!$A$2:$A$40,0))</f>
        <v>0</v>
      </c>
      <c r="I54" s="72" t="n">
        <f aca="false">F54/INDEX(Valeurs!$B$2:$B$40,MATCH(E54,Valeurs!$A$2:$A$40,0))*INDEX(Valeurs!$E$2:$E$40,MATCH(E54,Valeurs!$A$2:$A$40,0))</f>
        <v>0</v>
      </c>
      <c r="J54" s="64" t="n">
        <v>1</v>
      </c>
    </row>
    <row r="55" customFormat="false" ht="15" hidden="false" customHeight="false" outlineLevel="0" collapsed="false">
      <c r="A55" s="70" t="n">
        <v>46297</v>
      </c>
      <c r="B55" s="64" t="s">
        <v>10</v>
      </c>
      <c r="C55" s="64" t="s">
        <v>11</v>
      </c>
      <c r="D55" s="64" t="s">
        <v>7</v>
      </c>
      <c r="E55" s="64" t="s">
        <v>21</v>
      </c>
      <c r="F55" s="71" t="n">
        <f aca="false">Menu!E35</f>
        <v>40</v>
      </c>
      <c r="G55" s="64" t="s">
        <v>15</v>
      </c>
      <c r="H55" s="66" t="n">
        <f aca="false">F55/INDEX(Valeurs!$B$2:$B$40,MATCH(E55,Valeurs!$A$2:$A$40,0))*INDEX(Valeurs!$D$2:$D$40,MATCH(E55,Valeurs!$A$2:$A$40,0))</f>
        <v>96</v>
      </c>
      <c r="I55" s="72" t="n">
        <f aca="false">F55/INDEX(Valeurs!$B$2:$B$40,MATCH(E55,Valeurs!$A$2:$A$40,0))*INDEX(Valeurs!$E$2:$E$40,MATCH(E55,Valeurs!$A$2:$A$40,0))</f>
        <v>3.6</v>
      </c>
      <c r="J55" s="64" t="n">
        <v>1</v>
      </c>
    </row>
    <row r="56" customFormat="false" ht="15" hidden="false" customHeight="false" outlineLevel="0" collapsed="false">
      <c r="A56" s="70" t="n">
        <v>46297</v>
      </c>
      <c r="B56" s="64" t="s">
        <v>10</v>
      </c>
      <c r="C56" s="64" t="s">
        <v>11</v>
      </c>
      <c r="D56" s="64" t="s">
        <v>6</v>
      </c>
      <c r="E56" s="64" t="s">
        <v>22</v>
      </c>
      <c r="F56" s="71" t="n">
        <f aca="false">Menu!D36</f>
        <v>0</v>
      </c>
      <c r="G56" s="64" t="s">
        <v>15</v>
      </c>
      <c r="H56" s="66" t="n">
        <f aca="false">F56/INDEX(Valeurs!$B$2:$B$40,MATCH(E56,Valeurs!$A$2:$A$40,0))*INDEX(Valeurs!$D$2:$D$40,MATCH(E56,Valeurs!$A$2:$A$40,0))</f>
        <v>0</v>
      </c>
      <c r="I56" s="72" t="n">
        <f aca="false">F56/INDEX(Valeurs!$B$2:$B$40,MATCH(E56,Valeurs!$A$2:$A$40,0))*INDEX(Valeurs!$E$2:$E$40,MATCH(E56,Valeurs!$A$2:$A$40,0))</f>
        <v>0</v>
      </c>
      <c r="J56" s="64" t="n">
        <v>1</v>
      </c>
    </row>
    <row r="57" customFormat="false" ht="15" hidden="false" customHeight="false" outlineLevel="0" collapsed="false">
      <c r="A57" s="70" t="n">
        <v>46297</v>
      </c>
      <c r="B57" s="64" t="s">
        <v>10</v>
      </c>
      <c r="C57" s="64" t="s">
        <v>11</v>
      </c>
      <c r="D57" s="64" t="s">
        <v>7</v>
      </c>
      <c r="E57" s="64" t="s">
        <v>22</v>
      </c>
      <c r="F57" s="71" t="n">
        <f aca="false">Menu!E36</f>
        <v>150</v>
      </c>
      <c r="G57" s="64" t="s">
        <v>15</v>
      </c>
      <c r="H57" s="66" t="n">
        <f aca="false">F57/INDEX(Valeurs!$B$2:$B$40,MATCH(E57,Valeurs!$A$2:$A$40,0))*INDEX(Valeurs!$D$2:$D$40,MATCH(E57,Valeurs!$A$2:$A$40,0))</f>
        <v>78</v>
      </c>
      <c r="I57" s="72" t="n">
        <f aca="false">F57/INDEX(Valeurs!$B$2:$B$40,MATCH(E57,Valeurs!$A$2:$A$40,0))*INDEX(Valeurs!$E$2:$E$40,MATCH(E57,Valeurs!$A$2:$A$40,0))</f>
        <v>0.45</v>
      </c>
      <c r="J57" s="64" t="n">
        <v>1</v>
      </c>
    </row>
    <row r="58" customFormat="false" ht="15" hidden="false" customHeight="false" outlineLevel="0" collapsed="false">
      <c r="A58" s="70" t="n">
        <v>46297</v>
      </c>
      <c r="B58" s="64" t="s">
        <v>23</v>
      </c>
      <c r="C58" s="64" t="s">
        <v>41</v>
      </c>
      <c r="D58" s="64" t="s">
        <v>6</v>
      </c>
      <c r="E58" s="64" t="s">
        <v>25</v>
      </c>
      <c r="F58" s="71" t="n">
        <f aca="false">Menu!D37</f>
        <v>100</v>
      </c>
      <c r="G58" s="64" t="s">
        <v>15</v>
      </c>
      <c r="H58" s="66" t="n">
        <f aca="false">F58/INDEX(Valeurs!$B$2:$B$40,MATCH(E58,Valeurs!$A$2:$A$40,0))*INDEX(Valeurs!$D$2:$D$40,MATCH(E58,Valeurs!$A$2:$A$40,0))</f>
        <v>115</v>
      </c>
      <c r="I58" s="72" t="n">
        <f aca="false">F58/INDEX(Valeurs!$B$2:$B$40,MATCH(E58,Valeurs!$A$2:$A$40,0))*INDEX(Valeurs!$E$2:$E$40,MATCH(E58,Valeurs!$A$2:$A$40,0))</f>
        <v>23</v>
      </c>
      <c r="J58" s="64" t="n">
        <v>1</v>
      </c>
    </row>
    <row r="59" customFormat="false" ht="15" hidden="false" customHeight="false" outlineLevel="0" collapsed="false">
      <c r="A59" s="70" t="n">
        <v>46297</v>
      </c>
      <c r="B59" s="64" t="s">
        <v>23</v>
      </c>
      <c r="C59" s="64" t="s">
        <v>41</v>
      </c>
      <c r="D59" s="64" t="s">
        <v>7</v>
      </c>
      <c r="E59" s="64" t="s">
        <v>25</v>
      </c>
      <c r="F59" s="71" t="n">
        <f aca="false">Menu!E37</f>
        <v>80</v>
      </c>
      <c r="G59" s="64" t="s">
        <v>15</v>
      </c>
      <c r="H59" s="66" t="n">
        <f aca="false">F59/INDEX(Valeurs!$B$2:$B$40,MATCH(E59,Valeurs!$A$2:$A$40,0))*INDEX(Valeurs!$D$2:$D$40,MATCH(E59,Valeurs!$A$2:$A$40,0))</f>
        <v>92</v>
      </c>
      <c r="I59" s="72" t="n">
        <f aca="false">F59/INDEX(Valeurs!$B$2:$B$40,MATCH(E59,Valeurs!$A$2:$A$40,0))*INDEX(Valeurs!$E$2:$E$40,MATCH(E59,Valeurs!$A$2:$A$40,0))</f>
        <v>18.4</v>
      </c>
      <c r="J59" s="64" t="n">
        <v>1</v>
      </c>
    </row>
    <row r="60" customFormat="false" ht="15" hidden="false" customHeight="false" outlineLevel="0" collapsed="false">
      <c r="A60" s="70" t="n">
        <v>46297</v>
      </c>
      <c r="B60" s="64" t="s">
        <v>23</v>
      </c>
      <c r="C60" s="64" t="s">
        <v>41</v>
      </c>
      <c r="D60" s="64" t="s">
        <v>6</v>
      </c>
      <c r="E60" s="64" t="s">
        <v>42</v>
      </c>
      <c r="F60" s="71" t="n">
        <f aca="false">Menu!D38</f>
        <v>140</v>
      </c>
      <c r="G60" s="64" t="s">
        <v>15</v>
      </c>
      <c r="H60" s="66" t="n">
        <f aca="false">F60/INDEX(Valeurs!$B$2:$B$40,MATCH(E60,Valeurs!$A$2:$A$40,0))*INDEX(Valeurs!$D$2:$D$40,MATCH(E60,Valeurs!$A$2:$A$40,0))</f>
        <v>140</v>
      </c>
      <c r="I60" s="72" t="n">
        <f aca="false">F60/INDEX(Valeurs!$B$2:$B$40,MATCH(E60,Valeurs!$A$2:$A$40,0))*INDEX(Valeurs!$E$2:$E$40,MATCH(E60,Valeurs!$A$2:$A$40,0))</f>
        <v>10.5</v>
      </c>
      <c r="J60" s="64" t="n">
        <v>1</v>
      </c>
    </row>
    <row r="61" customFormat="false" ht="15" hidden="false" customHeight="false" outlineLevel="0" collapsed="false">
      <c r="A61" s="70" t="n">
        <v>46297</v>
      </c>
      <c r="B61" s="64" t="s">
        <v>23</v>
      </c>
      <c r="C61" s="64" t="s">
        <v>41</v>
      </c>
      <c r="D61" s="64" t="s">
        <v>7</v>
      </c>
      <c r="E61" s="64" t="s">
        <v>42</v>
      </c>
      <c r="F61" s="71" t="n">
        <f aca="false">Menu!E38</f>
        <v>120</v>
      </c>
      <c r="G61" s="64" t="s">
        <v>15</v>
      </c>
      <c r="H61" s="66" t="n">
        <f aca="false">F61/INDEX(Valeurs!$B$2:$B$40,MATCH(E61,Valeurs!$A$2:$A$40,0))*INDEX(Valeurs!$D$2:$D$40,MATCH(E61,Valeurs!$A$2:$A$40,0))</f>
        <v>120</v>
      </c>
      <c r="I61" s="72" t="n">
        <f aca="false">F61/INDEX(Valeurs!$B$2:$B$40,MATCH(E61,Valeurs!$A$2:$A$40,0))*INDEX(Valeurs!$E$2:$E$40,MATCH(E61,Valeurs!$A$2:$A$40,0))</f>
        <v>9</v>
      </c>
      <c r="J61" s="64" t="n">
        <v>1</v>
      </c>
    </row>
    <row r="62" customFormat="false" ht="15" hidden="false" customHeight="false" outlineLevel="0" collapsed="false">
      <c r="A62" s="70" t="n">
        <v>46297</v>
      </c>
      <c r="B62" s="64" t="s">
        <v>23</v>
      </c>
      <c r="C62" s="64" t="s">
        <v>41</v>
      </c>
      <c r="D62" s="64" t="s">
        <v>6</v>
      </c>
      <c r="E62" s="64" t="s">
        <v>43</v>
      </c>
      <c r="F62" s="71" t="n">
        <f aca="false">Menu!D39</f>
        <v>50</v>
      </c>
      <c r="G62" s="64" t="s">
        <v>15</v>
      </c>
      <c r="H62" s="66" t="n">
        <f aca="false">F62/INDEX(Valeurs!$B$2:$B$40,MATCH(E62,Valeurs!$A$2:$A$40,0))*INDEX(Valeurs!$D$2:$D$40,MATCH(E62,Valeurs!$A$2:$A$40,0))</f>
        <v>177.5</v>
      </c>
      <c r="I62" s="72" t="n">
        <f aca="false">F62/INDEX(Valeurs!$B$2:$B$40,MATCH(E62,Valeurs!$A$2:$A$40,0))*INDEX(Valeurs!$E$2:$E$40,MATCH(E62,Valeurs!$A$2:$A$40,0))</f>
        <v>3.5</v>
      </c>
      <c r="J62" s="64" t="n">
        <v>1</v>
      </c>
    </row>
    <row r="63" customFormat="false" ht="15" hidden="false" customHeight="false" outlineLevel="0" collapsed="false">
      <c r="A63" s="70" t="n">
        <v>46297</v>
      </c>
      <c r="B63" s="64" t="s">
        <v>23</v>
      </c>
      <c r="C63" s="64" t="s">
        <v>41</v>
      </c>
      <c r="D63" s="64" t="s">
        <v>7</v>
      </c>
      <c r="E63" s="64" t="s">
        <v>43</v>
      </c>
      <c r="F63" s="71" t="n">
        <f aca="false">Menu!E39</f>
        <v>20</v>
      </c>
      <c r="G63" s="64" t="s">
        <v>15</v>
      </c>
      <c r="H63" s="66" t="n">
        <f aca="false">F63/INDEX(Valeurs!$B$2:$B$40,MATCH(E63,Valeurs!$A$2:$A$40,0))*INDEX(Valeurs!$D$2:$D$40,MATCH(E63,Valeurs!$A$2:$A$40,0))</f>
        <v>71</v>
      </c>
      <c r="I63" s="72" t="n">
        <f aca="false">F63/INDEX(Valeurs!$B$2:$B$40,MATCH(E63,Valeurs!$A$2:$A$40,0))*INDEX(Valeurs!$E$2:$E$40,MATCH(E63,Valeurs!$A$2:$A$40,0))</f>
        <v>1.4</v>
      </c>
      <c r="J63" s="64" t="n">
        <v>1</v>
      </c>
    </row>
    <row r="64" customFormat="false" ht="15" hidden="false" customHeight="false" outlineLevel="0" collapsed="false">
      <c r="A64" s="70" t="n">
        <v>46297</v>
      </c>
      <c r="B64" s="64" t="s">
        <v>23</v>
      </c>
      <c r="C64" s="64" t="s">
        <v>41</v>
      </c>
      <c r="D64" s="64" t="s">
        <v>6</v>
      </c>
      <c r="E64" s="64" t="s">
        <v>20</v>
      </c>
      <c r="F64" s="71" t="n">
        <f aca="false">Menu!D40</f>
        <v>120</v>
      </c>
      <c r="G64" s="64" t="s">
        <v>15</v>
      </c>
      <c r="H64" s="66" t="n">
        <f aca="false">F64/INDEX(Valeurs!$B$2:$B$40,MATCH(E64,Valeurs!$A$2:$A$40,0))*INDEX(Valeurs!$D$2:$D$40,MATCH(E64,Valeurs!$A$2:$A$40,0))</f>
        <v>21.6</v>
      </c>
      <c r="I64" s="72" t="n">
        <f aca="false">F64/INDEX(Valeurs!$B$2:$B$40,MATCH(E64,Valeurs!$A$2:$A$40,0))*INDEX(Valeurs!$E$2:$E$40,MATCH(E64,Valeurs!$A$2:$A$40,0))</f>
        <v>1.08</v>
      </c>
      <c r="J64" s="64" t="n">
        <v>1</v>
      </c>
    </row>
    <row r="65" customFormat="false" ht="15" hidden="false" customHeight="false" outlineLevel="0" collapsed="false">
      <c r="A65" s="70" t="n">
        <v>46297</v>
      </c>
      <c r="B65" s="64" t="s">
        <v>23</v>
      </c>
      <c r="C65" s="64" t="s">
        <v>41</v>
      </c>
      <c r="D65" s="64" t="s">
        <v>7</v>
      </c>
      <c r="E65" s="64" t="s">
        <v>20</v>
      </c>
      <c r="F65" s="71" t="n">
        <f aca="false">Menu!E40</f>
        <v>150</v>
      </c>
      <c r="G65" s="64" t="s">
        <v>15</v>
      </c>
      <c r="H65" s="66" t="n">
        <f aca="false">F65/INDEX(Valeurs!$B$2:$B$40,MATCH(E65,Valeurs!$A$2:$A$40,0))*INDEX(Valeurs!$D$2:$D$40,MATCH(E65,Valeurs!$A$2:$A$40,0))</f>
        <v>27</v>
      </c>
      <c r="I65" s="72" t="n">
        <f aca="false">F65/INDEX(Valeurs!$B$2:$B$40,MATCH(E65,Valeurs!$A$2:$A$40,0))*INDEX(Valeurs!$E$2:$E$40,MATCH(E65,Valeurs!$A$2:$A$40,0))</f>
        <v>1.35</v>
      </c>
      <c r="J65" s="64" t="n">
        <v>1</v>
      </c>
    </row>
    <row r="66" customFormat="false" ht="15" hidden="false" customHeight="false" outlineLevel="0" collapsed="false">
      <c r="A66" s="70" t="n">
        <v>46297</v>
      </c>
      <c r="B66" s="64" t="s">
        <v>23</v>
      </c>
      <c r="C66" s="64" t="s">
        <v>41</v>
      </c>
      <c r="D66" s="64" t="s">
        <v>6</v>
      </c>
      <c r="E66" s="64" t="s">
        <v>35</v>
      </c>
      <c r="F66" s="71" t="n">
        <f aca="false">Menu!D41</f>
        <v>40</v>
      </c>
      <c r="G66" s="64" t="s">
        <v>15</v>
      </c>
      <c r="H66" s="66" t="n">
        <f aca="false">F66/INDEX(Valeurs!$B$2:$B$40,MATCH(E66,Valeurs!$A$2:$A$40,0))*INDEX(Valeurs!$D$2:$D$40,MATCH(E66,Valeurs!$A$2:$A$40,0))</f>
        <v>16</v>
      </c>
      <c r="I66" s="72" t="n">
        <f aca="false">F66/INDEX(Valeurs!$B$2:$B$40,MATCH(E66,Valeurs!$A$2:$A$40,0))*INDEX(Valeurs!$E$2:$E$40,MATCH(E66,Valeurs!$A$2:$A$40,0))</f>
        <v>0.44</v>
      </c>
      <c r="J66" s="64" t="n">
        <v>1</v>
      </c>
    </row>
    <row r="67" customFormat="false" ht="15" hidden="false" customHeight="false" outlineLevel="0" collapsed="false">
      <c r="A67" s="70" t="n">
        <v>46297</v>
      </c>
      <c r="B67" s="64" t="s">
        <v>23</v>
      </c>
      <c r="C67" s="64" t="s">
        <v>41</v>
      </c>
      <c r="D67" s="64" t="s">
        <v>7</v>
      </c>
      <c r="E67" s="64" t="s">
        <v>35</v>
      </c>
      <c r="F67" s="71" t="n">
        <f aca="false">Menu!E41</f>
        <v>40</v>
      </c>
      <c r="G67" s="64" t="s">
        <v>15</v>
      </c>
      <c r="H67" s="66" t="n">
        <f aca="false">F67/INDEX(Valeurs!$B$2:$B$40,MATCH(E67,Valeurs!$A$2:$A$40,0))*INDEX(Valeurs!$D$2:$D$40,MATCH(E67,Valeurs!$A$2:$A$40,0))</f>
        <v>16</v>
      </c>
      <c r="I67" s="72" t="n">
        <f aca="false">F67/INDEX(Valeurs!$B$2:$B$40,MATCH(E67,Valeurs!$A$2:$A$40,0))*INDEX(Valeurs!$E$2:$E$40,MATCH(E67,Valeurs!$A$2:$A$40,0))</f>
        <v>0.44</v>
      </c>
      <c r="J67" s="64" t="n">
        <v>1</v>
      </c>
    </row>
    <row r="68" customFormat="false" ht="15" hidden="false" customHeight="false" outlineLevel="0" collapsed="false">
      <c r="A68" s="70" t="n">
        <v>46297</v>
      </c>
      <c r="B68" s="64" t="s">
        <v>23</v>
      </c>
      <c r="C68" s="64" t="s">
        <v>41</v>
      </c>
      <c r="D68" s="64" t="s">
        <v>6</v>
      </c>
      <c r="E68" s="64" t="s">
        <v>44</v>
      </c>
      <c r="F68" s="71" t="n">
        <f aca="false">Menu!D42</f>
        <v>80</v>
      </c>
      <c r="G68" s="64" t="s">
        <v>15</v>
      </c>
      <c r="H68" s="66" t="n">
        <f aca="false">F68/INDEX(Valeurs!$B$2:$B$40,MATCH(E68,Valeurs!$A$2:$A$40,0))*INDEX(Valeurs!$D$2:$D$40,MATCH(E68,Valeurs!$A$2:$A$40,0))</f>
        <v>32.8</v>
      </c>
      <c r="I68" s="72" t="n">
        <f aca="false">F68/INDEX(Valeurs!$B$2:$B$40,MATCH(E68,Valeurs!$A$2:$A$40,0))*INDEX(Valeurs!$E$2:$E$40,MATCH(E68,Valeurs!$A$2:$A$40,0))</f>
        <v>0.72</v>
      </c>
      <c r="J68" s="64" t="n">
        <v>1</v>
      </c>
    </row>
    <row r="69" customFormat="false" ht="15" hidden="false" customHeight="false" outlineLevel="0" collapsed="false">
      <c r="A69" s="70" t="n">
        <v>46297</v>
      </c>
      <c r="B69" s="64" t="s">
        <v>23</v>
      </c>
      <c r="C69" s="64" t="s">
        <v>41</v>
      </c>
      <c r="D69" s="64" t="s">
        <v>7</v>
      </c>
      <c r="E69" s="64" t="s">
        <v>44</v>
      </c>
      <c r="F69" s="71" t="n">
        <f aca="false">Menu!E42</f>
        <v>100</v>
      </c>
      <c r="G69" s="64" t="s">
        <v>15</v>
      </c>
      <c r="H69" s="66" t="n">
        <f aca="false">F69/INDEX(Valeurs!$B$2:$B$40,MATCH(E69,Valeurs!$A$2:$A$40,0))*INDEX(Valeurs!$D$2:$D$40,MATCH(E69,Valeurs!$A$2:$A$40,0))</f>
        <v>41</v>
      </c>
      <c r="I69" s="72" t="n">
        <f aca="false">F69/INDEX(Valeurs!$B$2:$B$40,MATCH(E69,Valeurs!$A$2:$A$40,0))*INDEX(Valeurs!$E$2:$E$40,MATCH(E69,Valeurs!$A$2:$A$40,0))</f>
        <v>0.9</v>
      </c>
      <c r="J69" s="64" t="n">
        <v>1</v>
      </c>
    </row>
    <row r="70" customFormat="false" ht="15" hidden="false" customHeight="false" outlineLevel="0" collapsed="false">
      <c r="A70" s="70" t="n">
        <v>46297</v>
      </c>
      <c r="B70" s="64" t="s">
        <v>23</v>
      </c>
      <c r="C70" s="64" t="s">
        <v>41</v>
      </c>
      <c r="D70" s="64" t="s">
        <v>6</v>
      </c>
      <c r="E70" s="64" t="s">
        <v>28</v>
      </c>
      <c r="F70" s="71" t="n">
        <f aca="false">Menu!D43</f>
        <v>10</v>
      </c>
      <c r="G70" s="64" t="s">
        <v>15</v>
      </c>
      <c r="H70" s="66" t="n">
        <f aca="false">F70/INDEX(Valeurs!$B$2:$B$40,MATCH(E70,Valeurs!$A$2:$A$40,0))*INDEX(Valeurs!$D$2:$D$40,MATCH(E70,Valeurs!$A$2:$A$40,0))</f>
        <v>90</v>
      </c>
      <c r="I70" s="72" t="n">
        <f aca="false">F70/INDEX(Valeurs!$B$2:$B$40,MATCH(E70,Valeurs!$A$2:$A$40,0))*INDEX(Valeurs!$E$2:$E$40,MATCH(E70,Valeurs!$A$2:$A$40,0))</f>
        <v>0</v>
      </c>
      <c r="J70" s="64" t="n">
        <v>1</v>
      </c>
    </row>
    <row r="71" customFormat="false" ht="15" hidden="false" customHeight="false" outlineLevel="0" collapsed="false">
      <c r="A71" s="70" t="n">
        <v>46297</v>
      </c>
      <c r="B71" s="64" t="s">
        <v>23</v>
      </c>
      <c r="C71" s="64" t="s">
        <v>41</v>
      </c>
      <c r="D71" s="64" t="s">
        <v>7</v>
      </c>
      <c r="E71" s="64" t="s">
        <v>28</v>
      </c>
      <c r="F71" s="71" t="n">
        <f aca="false">Menu!E43</f>
        <v>7</v>
      </c>
      <c r="G71" s="64" t="s">
        <v>15</v>
      </c>
      <c r="H71" s="66" t="n">
        <f aca="false">F71/INDEX(Valeurs!$B$2:$B$40,MATCH(E71,Valeurs!$A$2:$A$40,0))*INDEX(Valeurs!$D$2:$D$40,MATCH(E71,Valeurs!$A$2:$A$40,0))</f>
        <v>63</v>
      </c>
      <c r="I71" s="72" t="n">
        <f aca="false">F71/INDEX(Valeurs!$B$2:$B$40,MATCH(E71,Valeurs!$A$2:$A$40,0))*INDEX(Valeurs!$E$2:$E$40,MATCH(E71,Valeurs!$A$2:$A$40,0))</f>
        <v>0</v>
      </c>
      <c r="J71" s="64" t="n">
        <v>1</v>
      </c>
    </row>
    <row r="72" customFormat="false" ht="15" hidden="false" customHeight="false" outlineLevel="0" collapsed="false">
      <c r="A72" s="70" t="n">
        <v>46297</v>
      </c>
      <c r="B72" s="64" t="s">
        <v>29</v>
      </c>
      <c r="C72" s="64" t="s">
        <v>45</v>
      </c>
      <c r="D72" s="64" t="s">
        <v>6</v>
      </c>
      <c r="E72" s="64" t="s">
        <v>17</v>
      </c>
      <c r="F72" s="71" t="n">
        <f aca="false">Menu!D44</f>
        <v>3</v>
      </c>
      <c r="G72" s="64" t="s">
        <v>171</v>
      </c>
      <c r="H72" s="66" t="n">
        <f aca="false">F72/INDEX(Valeurs!$B$2:$B$40,MATCH(E72,Valeurs!$A$2:$A$40,0))*INDEX(Valeurs!$D$2:$D$40,MATCH(E72,Valeurs!$A$2:$A$40,0))</f>
        <v>261</v>
      </c>
      <c r="I72" s="72" t="n">
        <f aca="false">F72/INDEX(Valeurs!$B$2:$B$40,MATCH(E72,Valeurs!$A$2:$A$40,0))*INDEX(Valeurs!$E$2:$E$40,MATCH(E72,Valeurs!$A$2:$A$40,0))</f>
        <v>22.5</v>
      </c>
      <c r="J72" s="64" t="n">
        <v>1</v>
      </c>
    </row>
    <row r="73" customFormat="false" ht="15" hidden="false" customHeight="false" outlineLevel="0" collapsed="false">
      <c r="A73" s="70" t="n">
        <v>46297</v>
      </c>
      <c r="B73" s="64" t="s">
        <v>29</v>
      </c>
      <c r="C73" s="64" t="s">
        <v>45</v>
      </c>
      <c r="D73" s="64" t="s">
        <v>7</v>
      </c>
      <c r="E73" s="64" t="s">
        <v>17</v>
      </c>
      <c r="F73" s="71" t="n">
        <f aca="false">Menu!E44</f>
        <v>2</v>
      </c>
      <c r="G73" s="64" t="s">
        <v>171</v>
      </c>
      <c r="H73" s="66" t="n">
        <f aca="false">F73/INDEX(Valeurs!$B$2:$B$40,MATCH(E73,Valeurs!$A$2:$A$40,0))*INDEX(Valeurs!$D$2:$D$40,MATCH(E73,Valeurs!$A$2:$A$40,0))</f>
        <v>174</v>
      </c>
      <c r="I73" s="72" t="n">
        <f aca="false">F73/INDEX(Valeurs!$B$2:$B$40,MATCH(E73,Valeurs!$A$2:$A$40,0))*INDEX(Valeurs!$E$2:$E$40,MATCH(E73,Valeurs!$A$2:$A$40,0))</f>
        <v>15</v>
      </c>
      <c r="J73" s="64" t="n">
        <v>1</v>
      </c>
    </row>
    <row r="74" customFormat="false" ht="15" hidden="false" customHeight="false" outlineLevel="0" collapsed="false">
      <c r="A74" s="70" t="n">
        <v>46297</v>
      </c>
      <c r="B74" s="64" t="s">
        <v>29</v>
      </c>
      <c r="C74" s="64" t="s">
        <v>45</v>
      </c>
      <c r="D74" s="64" t="s">
        <v>6</v>
      </c>
      <c r="E74" s="64" t="s">
        <v>26</v>
      </c>
      <c r="F74" s="71" t="n">
        <f aca="false">Menu!D45</f>
        <v>300</v>
      </c>
      <c r="G74" s="64" t="s">
        <v>15</v>
      </c>
      <c r="H74" s="66" t="n">
        <f aca="false">F74/INDEX(Valeurs!$B$2:$B$40,MATCH(E74,Valeurs!$A$2:$A$40,0))*INDEX(Valeurs!$D$2:$D$40,MATCH(E74,Valeurs!$A$2:$A$40,0))</f>
        <v>240</v>
      </c>
      <c r="I74" s="72" t="n">
        <f aca="false">F74/INDEX(Valeurs!$B$2:$B$40,MATCH(E74,Valeurs!$A$2:$A$40,0))*INDEX(Valeurs!$E$2:$E$40,MATCH(E74,Valeurs!$A$2:$A$40,0))</f>
        <v>6</v>
      </c>
      <c r="J74" s="64" t="n">
        <v>1</v>
      </c>
    </row>
    <row r="75" customFormat="false" ht="15" hidden="false" customHeight="false" outlineLevel="0" collapsed="false">
      <c r="A75" s="70" t="n">
        <v>46297</v>
      </c>
      <c r="B75" s="64" t="s">
        <v>29</v>
      </c>
      <c r="C75" s="64" t="s">
        <v>45</v>
      </c>
      <c r="D75" s="64" t="s">
        <v>7</v>
      </c>
      <c r="E75" s="64" t="s">
        <v>26</v>
      </c>
      <c r="F75" s="71" t="n">
        <f aca="false">Menu!E45</f>
        <v>110</v>
      </c>
      <c r="G75" s="64" t="s">
        <v>15</v>
      </c>
      <c r="H75" s="66" t="n">
        <f aca="false">F75/INDEX(Valeurs!$B$2:$B$40,MATCH(E75,Valeurs!$A$2:$A$40,0))*INDEX(Valeurs!$D$2:$D$40,MATCH(E75,Valeurs!$A$2:$A$40,0))</f>
        <v>88</v>
      </c>
      <c r="I75" s="72" t="n">
        <f aca="false">F75/INDEX(Valeurs!$B$2:$B$40,MATCH(E75,Valeurs!$A$2:$A$40,0))*INDEX(Valeurs!$E$2:$E$40,MATCH(E75,Valeurs!$A$2:$A$40,0))</f>
        <v>2.2</v>
      </c>
      <c r="J75" s="64" t="n">
        <v>1</v>
      </c>
    </row>
    <row r="76" customFormat="false" ht="15" hidden="false" customHeight="false" outlineLevel="0" collapsed="false">
      <c r="A76" s="70" t="n">
        <v>46297</v>
      </c>
      <c r="B76" s="64" t="s">
        <v>29</v>
      </c>
      <c r="C76" s="64" t="s">
        <v>45</v>
      </c>
      <c r="D76" s="64" t="s">
        <v>6</v>
      </c>
      <c r="E76" s="64" t="s">
        <v>33</v>
      </c>
      <c r="F76" s="71" t="n">
        <f aca="false">Menu!D46</f>
        <v>150</v>
      </c>
      <c r="G76" s="64" t="s">
        <v>15</v>
      </c>
      <c r="H76" s="66" t="n">
        <f aca="false">F76/INDEX(Valeurs!$B$2:$B$40,MATCH(E76,Valeurs!$A$2:$A$40,0))*INDEX(Valeurs!$D$2:$D$40,MATCH(E76,Valeurs!$A$2:$A$40,0))</f>
        <v>25.5</v>
      </c>
      <c r="I76" s="72" t="n">
        <f aca="false">F76/INDEX(Valeurs!$B$2:$B$40,MATCH(E76,Valeurs!$A$2:$A$40,0))*INDEX(Valeurs!$E$2:$E$40,MATCH(E76,Valeurs!$A$2:$A$40,0))</f>
        <v>1.8</v>
      </c>
      <c r="J76" s="64" t="n">
        <v>1</v>
      </c>
    </row>
    <row r="77" customFormat="false" ht="15" hidden="false" customHeight="false" outlineLevel="0" collapsed="false">
      <c r="A77" s="70" t="n">
        <v>46297</v>
      </c>
      <c r="B77" s="64" t="s">
        <v>29</v>
      </c>
      <c r="C77" s="64" t="s">
        <v>45</v>
      </c>
      <c r="D77" s="64" t="s">
        <v>7</v>
      </c>
      <c r="E77" s="64" t="s">
        <v>33</v>
      </c>
      <c r="F77" s="71" t="n">
        <f aca="false">Menu!E46</f>
        <v>170</v>
      </c>
      <c r="G77" s="64" t="s">
        <v>15</v>
      </c>
      <c r="H77" s="66" t="n">
        <f aca="false">F77/INDEX(Valeurs!$B$2:$B$40,MATCH(E77,Valeurs!$A$2:$A$40,0))*INDEX(Valeurs!$D$2:$D$40,MATCH(E77,Valeurs!$A$2:$A$40,0))</f>
        <v>28.9</v>
      </c>
      <c r="I77" s="72" t="n">
        <f aca="false">F77/INDEX(Valeurs!$B$2:$B$40,MATCH(E77,Valeurs!$A$2:$A$40,0))*INDEX(Valeurs!$E$2:$E$40,MATCH(E77,Valeurs!$A$2:$A$40,0))</f>
        <v>2.04</v>
      </c>
      <c r="J77" s="64" t="n">
        <v>1</v>
      </c>
    </row>
    <row r="78" customFormat="false" ht="15" hidden="false" customHeight="false" outlineLevel="0" collapsed="false">
      <c r="A78" s="70" t="n">
        <v>46297</v>
      </c>
      <c r="B78" s="64" t="s">
        <v>29</v>
      </c>
      <c r="C78" s="64" t="s">
        <v>45</v>
      </c>
      <c r="D78" s="64" t="s">
        <v>6</v>
      </c>
      <c r="E78" s="64" t="s">
        <v>20</v>
      </c>
      <c r="F78" s="71" t="n">
        <f aca="false">Menu!D47</f>
        <v>100</v>
      </c>
      <c r="G78" s="64" t="s">
        <v>15</v>
      </c>
      <c r="H78" s="66" t="n">
        <f aca="false">F78/INDEX(Valeurs!$B$2:$B$40,MATCH(E78,Valeurs!$A$2:$A$40,0))*INDEX(Valeurs!$D$2:$D$40,MATCH(E78,Valeurs!$A$2:$A$40,0))</f>
        <v>18</v>
      </c>
      <c r="I78" s="72" t="n">
        <f aca="false">F78/INDEX(Valeurs!$B$2:$B$40,MATCH(E78,Valeurs!$A$2:$A$40,0))*INDEX(Valeurs!$E$2:$E$40,MATCH(E78,Valeurs!$A$2:$A$40,0))</f>
        <v>0.9</v>
      </c>
      <c r="J78" s="64" t="n">
        <v>1</v>
      </c>
    </row>
    <row r="79" customFormat="false" ht="15" hidden="false" customHeight="false" outlineLevel="0" collapsed="false">
      <c r="A79" s="70" t="n">
        <v>46297</v>
      </c>
      <c r="B79" s="64" t="s">
        <v>29</v>
      </c>
      <c r="C79" s="64" t="s">
        <v>45</v>
      </c>
      <c r="D79" s="64" t="s">
        <v>7</v>
      </c>
      <c r="E79" s="64" t="s">
        <v>20</v>
      </c>
      <c r="F79" s="71" t="n">
        <f aca="false">Menu!E47</f>
        <v>130</v>
      </c>
      <c r="G79" s="64" t="s">
        <v>15</v>
      </c>
      <c r="H79" s="66" t="n">
        <f aca="false">F79/INDEX(Valeurs!$B$2:$B$40,MATCH(E79,Valeurs!$A$2:$A$40,0))*INDEX(Valeurs!$D$2:$D$40,MATCH(E79,Valeurs!$A$2:$A$40,0))</f>
        <v>23.4</v>
      </c>
      <c r="I79" s="72" t="n">
        <f aca="false">F79/INDEX(Valeurs!$B$2:$B$40,MATCH(E79,Valeurs!$A$2:$A$40,0))*INDEX(Valeurs!$E$2:$E$40,MATCH(E79,Valeurs!$A$2:$A$40,0))</f>
        <v>1.17</v>
      </c>
      <c r="J79" s="64" t="n">
        <v>1</v>
      </c>
    </row>
    <row r="80" customFormat="false" ht="15" hidden="false" customHeight="false" outlineLevel="0" collapsed="false">
      <c r="A80" s="70" t="n">
        <v>46297</v>
      </c>
      <c r="B80" s="64" t="s">
        <v>29</v>
      </c>
      <c r="C80" s="64" t="s">
        <v>45</v>
      </c>
      <c r="D80" s="64" t="s">
        <v>6</v>
      </c>
      <c r="E80" s="64" t="s">
        <v>46</v>
      </c>
      <c r="F80" s="71" t="n">
        <f aca="false">Menu!D48</f>
        <v>40</v>
      </c>
      <c r="G80" s="64" t="s">
        <v>15</v>
      </c>
      <c r="H80" s="66" t="n">
        <f aca="false">F80/INDEX(Valeurs!$B$2:$B$40,MATCH(E80,Valeurs!$A$2:$A$40,0))*INDEX(Valeurs!$D$2:$D$40,MATCH(E80,Valeurs!$A$2:$A$40,0))</f>
        <v>6</v>
      </c>
      <c r="I80" s="72" t="n">
        <f aca="false">F80/INDEX(Valeurs!$B$2:$B$40,MATCH(E80,Valeurs!$A$2:$A$40,0))*INDEX(Valeurs!$E$2:$E$40,MATCH(E80,Valeurs!$A$2:$A$40,0))</f>
        <v>0.56</v>
      </c>
      <c r="J80" s="64" t="n">
        <v>1</v>
      </c>
    </row>
    <row r="81" customFormat="false" ht="15" hidden="false" customHeight="false" outlineLevel="0" collapsed="false">
      <c r="A81" s="70" t="n">
        <v>46297</v>
      </c>
      <c r="B81" s="64" t="s">
        <v>29</v>
      </c>
      <c r="C81" s="64" t="s">
        <v>45</v>
      </c>
      <c r="D81" s="64" t="s">
        <v>7</v>
      </c>
      <c r="E81" s="64" t="s">
        <v>46</v>
      </c>
      <c r="F81" s="71" t="n">
        <f aca="false">Menu!E48</f>
        <v>60</v>
      </c>
      <c r="G81" s="64" t="s">
        <v>15</v>
      </c>
      <c r="H81" s="66" t="n">
        <f aca="false">F81/INDEX(Valeurs!$B$2:$B$40,MATCH(E81,Valeurs!$A$2:$A$40,0))*INDEX(Valeurs!$D$2:$D$40,MATCH(E81,Valeurs!$A$2:$A$40,0))</f>
        <v>9</v>
      </c>
      <c r="I81" s="72" t="n">
        <f aca="false">F81/INDEX(Valeurs!$B$2:$B$40,MATCH(E81,Valeurs!$A$2:$A$40,0))*INDEX(Valeurs!$E$2:$E$40,MATCH(E81,Valeurs!$A$2:$A$40,0))</f>
        <v>0.84</v>
      </c>
      <c r="J81" s="64" t="n">
        <v>1</v>
      </c>
    </row>
    <row r="82" customFormat="false" ht="15" hidden="false" customHeight="false" outlineLevel="0" collapsed="false">
      <c r="A82" s="70" t="n">
        <v>46297</v>
      </c>
      <c r="B82" s="64" t="s">
        <v>29</v>
      </c>
      <c r="C82" s="64" t="s">
        <v>45</v>
      </c>
      <c r="D82" s="64" t="s">
        <v>6</v>
      </c>
      <c r="E82" s="64" t="s">
        <v>35</v>
      </c>
      <c r="F82" s="71" t="n">
        <f aca="false">Menu!D49</f>
        <v>20</v>
      </c>
      <c r="G82" s="64" t="s">
        <v>15</v>
      </c>
      <c r="H82" s="66" t="n">
        <f aca="false">F82/INDEX(Valeurs!$B$2:$B$40,MATCH(E82,Valeurs!$A$2:$A$40,0))*INDEX(Valeurs!$D$2:$D$40,MATCH(E82,Valeurs!$A$2:$A$40,0))</f>
        <v>8</v>
      </c>
      <c r="I82" s="72" t="n">
        <f aca="false">F82/INDEX(Valeurs!$B$2:$B$40,MATCH(E82,Valeurs!$A$2:$A$40,0))*INDEX(Valeurs!$E$2:$E$40,MATCH(E82,Valeurs!$A$2:$A$40,0))</f>
        <v>0.22</v>
      </c>
      <c r="J82" s="64" t="n">
        <v>1</v>
      </c>
    </row>
    <row r="83" customFormat="false" ht="15" hidden="false" customHeight="false" outlineLevel="0" collapsed="false">
      <c r="A83" s="70" t="n">
        <v>46297</v>
      </c>
      <c r="B83" s="64" t="s">
        <v>29</v>
      </c>
      <c r="C83" s="64" t="s">
        <v>45</v>
      </c>
      <c r="D83" s="64" t="s">
        <v>7</v>
      </c>
      <c r="E83" s="64" t="s">
        <v>35</v>
      </c>
      <c r="F83" s="71" t="n">
        <f aca="false">Menu!E49</f>
        <v>20</v>
      </c>
      <c r="G83" s="64" t="s">
        <v>15</v>
      </c>
      <c r="H83" s="66" t="n">
        <f aca="false">F83/INDEX(Valeurs!$B$2:$B$40,MATCH(E83,Valeurs!$A$2:$A$40,0))*INDEX(Valeurs!$D$2:$D$40,MATCH(E83,Valeurs!$A$2:$A$40,0))</f>
        <v>8</v>
      </c>
      <c r="I83" s="72" t="n">
        <f aca="false">F83/INDEX(Valeurs!$B$2:$B$40,MATCH(E83,Valeurs!$A$2:$A$40,0))*INDEX(Valeurs!$E$2:$E$40,MATCH(E83,Valeurs!$A$2:$A$40,0))</f>
        <v>0.22</v>
      </c>
      <c r="J83" s="64" t="n">
        <v>1</v>
      </c>
    </row>
    <row r="84" customFormat="false" ht="15" hidden="false" customHeight="false" outlineLevel="0" collapsed="false">
      <c r="A84" s="70" t="n">
        <v>46297</v>
      </c>
      <c r="B84" s="64" t="s">
        <v>29</v>
      </c>
      <c r="C84" s="64" t="s">
        <v>45</v>
      </c>
      <c r="D84" s="64" t="s">
        <v>6</v>
      </c>
      <c r="E84" s="64" t="s">
        <v>28</v>
      </c>
      <c r="F84" s="71" t="n">
        <f aca="false">Menu!D50</f>
        <v>8</v>
      </c>
      <c r="G84" s="64" t="s">
        <v>15</v>
      </c>
      <c r="H84" s="66" t="n">
        <f aca="false">F84/INDEX(Valeurs!$B$2:$B$40,MATCH(E84,Valeurs!$A$2:$A$40,0))*INDEX(Valeurs!$D$2:$D$40,MATCH(E84,Valeurs!$A$2:$A$40,0))</f>
        <v>72</v>
      </c>
      <c r="I84" s="72" t="n">
        <f aca="false">F84/INDEX(Valeurs!$B$2:$B$40,MATCH(E84,Valeurs!$A$2:$A$40,0))*INDEX(Valeurs!$E$2:$E$40,MATCH(E84,Valeurs!$A$2:$A$40,0))</f>
        <v>0</v>
      </c>
      <c r="J84" s="64" t="n">
        <v>1</v>
      </c>
    </row>
    <row r="85" customFormat="false" ht="15" hidden="false" customHeight="false" outlineLevel="0" collapsed="false">
      <c r="A85" s="70" t="n">
        <v>46297</v>
      </c>
      <c r="B85" s="64" t="s">
        <v>29</v>
      </c>
      <c r="C85" s="64" t="s">
        <v>45</v>
      </c>
      <c r="D85" s="64" t="s">
        <v>7</v>
      </c>
      <c r="E85" s="64" t="s">
        <v>28</v>
      </c>
      <c r="F85" s="71" t="n">
        <f aca="false">Menu!E50</f>
        <v>6</v>
      </c>
      <c r="G85" s="64" t="s">
        <v>15</v>
      </c>
      <c r="H85" s="66" t="n">
        <f aca="false">F85/INDEX(Valeurs!$B$2:$B$40,MATCH(E85,Valeurs!$A$2:$A$40,0))*INDEX(Valeurs!$D$2:$D$40,MATCH(E85,Valeurs!$A$2:$A$40,0))</f>
        <v>54</v>
      </c>
      <c r="I85" s="72" t="n">
        <f aca="false">F85/INDEX(Valeurs!$B$2:$B$40,MATCH(E85,Valeurs!$A$2:$A$40,0))*INDEX(Valeurs!$E$2:$E$40,MATCH(E85,Valeurs!$A$2:$A$40,0))</f>
        <v>0</v>
      </c>
      <c r="J85" s="64" t="n">
        <v>1</v>
      </c>
    </row>
    <row r="86" customFormat="false" ht="15" hidden="false" customHeight="false" outlineLevel="0" collapsed="false">
      <c r="A86" s="70" t="n">
        <v>46297</v>
      </c>
      <c r="B86" s="64" t="s">
        <v>36</v>
      </c>
      <c r="C86" s="64" t="s">
        <v>47</v>
      </c>
      <c r="D86" s="64" t="s">
        <v>6</v>
      </c>
      <c r="E86" s="64" t="s">
        <v>47</v>
      </c>
      <c r="F86" s="71" t="n">
        <f aca="false">Menu!D51</f>
        <v>110</v>
      </c>
      <c r="G86" s="64" t="s">
        <v>15</v>
      </c>
      <c r="H86" s="66" t="n">
        <f aca="false">F86/INDEX(Valeurs!$B$2:$B$40,MATCH(E86,Valeurs!$A$2:$A$40,0))*INDEX(Valeurs!$D$2:$D$40,MATCH(E86,Valeurs!$A$2:$A$40,0))</f>
        <v>55</v>
      </c>
      <c r="I86" s="72" t="n">
        <f aca="false">F86/INDEX(Valeurs!$B$2:$B$40,MATCH(E86,Valeurs!$A$2:$A$40,0))*INDEX(Valeurs!$E$2:$E$40,MATCH(E86,Valeurs!$A$2:$A$40,0))</f>
        <v>0.55</v>
      </c>
      <c r="J86" s="64" t="n">
        <v>1</v>
      </c>
    </row>
    <row r="87" customFormat="false" ht="15" hidden="false" customHeight="false" outlineLevel="0" collapsed="false">
      <c r="A87" s="70" t="n">
        <v>46297</v>
      </c>
      <c r="B87" s="64" t="s">
        <v>36</v>
      </c>
      <c r="C87" s="64" t="s">
        <v>47</v>
      </c>
      <c r="D87" s="64" t="s">
        <v>7</v>
      </c>
      <c r="E87" s="64" t="s">
        <v>47</v>
      </c>
      <c r="F87" s="71" t="n">
        <f aca="false">Menu!E51</f>
        <v>90</v>
      </c>
      <c r="G87" s="64" t="s">
        <v>15</v>
      </c>
      <c r="H87" s="66" t="n">
        <f aca="false">F87/INDEX(Valeurs!$B$2:$B$40,MATCH(E87,Valeurs!$A$2:$A$40,0))*INDEX(Valeurs!$D$2:$D$40,MATCH(E87,Valeurs!$A$2:$A$40,0))</f>
        <v>45</v>
      </c>
      <c r="I87" s="72" t="n">
        <f aca="false">F87/INDEX(Valeurs!$B$2:$B$40,MATCH(E87,Valeurs!$A$2:$A$40,0))*INDEX(Valeurs!$E$2:$E$40,MATCH(E87,Valeurs!$A$2:$A$40,0))</f>
        <v>0.45</v>
      </c>
      <c r="J87" s="64" t="n">
        <v>1</v>
      </c>
    </row>
    <row r="88" customFormat="false" ht="15" hidden="false" customHeight="false" outlineLevel="0" collapsed="false">
      <c r="A88" s="70" t="n">
        <v>46298</v>
      </c>
      <c r="B88" s="64" t="s">
        <v>10</v>
      </c>
      <c r="C88" s="64" t="s">
        <v>11</v>
      </c>
      <c r="D88" s="64" t="s">
        <v>6</v>
      </c>
      <c r="E88" s="64" t="s">
        <v>12</v>
      </c>
      <c r="F88" s="71" t="n">
        <f aca="false">Menu!D54</f>
        <v>250</v>
      </c>
      <c r="G88" s="64" t="s">
        <v>13</v>
      </c>
      <c r="H88" s="66" t="n">
        <f aca="false">F88/INDEX(Valeurs!$B$2:$B$40,MATCH(E88,Valeurs!$A$2:$A$40,0))*INDEX(Valeurs!$D$2:$D$40,MATCH(E88,Valeurs!$A$2:$A$40,0))</f>
        <v>115</v>
      </c>
      <c r="I88" s="72" t="n">
        <f aca="false">F88/INDEX(Valeurs!$B$2:$B$40,MATCH(E88,Valeurs!$A$2:$A$40,0))*INDEX(Valeurs!$E$2:$E$40,MATCH(E88,Valeurs!$A$2:$A$40,0))</f>
        <v>8.25</v>
      </c>
      <c r="J88" s="64" t="n">
        <v>1</v>
      </c>
    </row>
    <row r="89" customFormat="false" ht="15" hidden="false" customHeight="false" outlineLevel="0" collapsed="false">
      <c r="A89" s="70" t="n">
        <v>46298</v>
      </c>
      <c r="B89" s="64" t="s">
        <v>10</v>
      </c>
      <c r="C89" s="64" t="s">
        <v>11</v>
      </c>
      <c r="D89" s="64" t="s">
        <v>7</v>
      </c>
      <c r="E89" s="64" t="s">
        <v>12</v>
      </c>
      <c r="F89" s="71" t="n">
        <f aca="false">Menu!E54</f>
        <v>0</v>
      </c>
      <c r="G89" s="64" t="s">
        <v>13</v>
      </c>
      <c r="H89" s="66" t="n">
        <f aca="false">F89/INDEX(Valeurs!$B$2:$B$40,MATCH(E89,Valeurs!$A$2:$A$40,0))*INDEX(Valeurs!$D$2:$D$40,MATCH(E89,Valeurs!$A$2:$A$40,0))</f>
        <v>0</v>
      </c>
      <c r="I89" s="72" t="n">
        <f aca="false">F89/INDEX(Valeurs!$B$2:$B$40,MATCH(E89,Valeurs!$A$2:$A$40,0))*INDEX(Valeurs!$E$2:$E$40,MATCH(E89,Valeurs!$A$2:$A$40,0))</f>
        <v>0</v>
      </c>
      <c r="J89" s="64" t="n">
        <v>1</v>
      </c>
    </row>
    <row r="90" customFormat="false" ht="15" hidden="false" customHeight="false" outlineLevel="0" collapsed="false">
      <c r="A90" s="70" t="n">
        <v>46298</v>
      </c>
      <c r="B90" s="64" t="s">
        <v>10</v>
      </c>
      <c r="C90" s="64" t="s">
        <v>11</v>
      </c>
      <c r="D90" s="64" t="s">
        <v>6</v>
      </c>
      <c r="E90" s="64" t="s">
        <v>14</v>
      </c>
      <c r="F90" s="71" t="n">
        <f aca="false">Menu!D55</f>
        <v>100</v>
      </c>
      <c r="G90" s="64" t="s">
        <v>15</v>
      </c>
      <c r="H90" s="66" t="n">
        <f aca="false">F90/INDEX(Valeurs!$B$2:$B$40,MATCH(E90,Valeurs!$A$2:$A$40,0))*INDEX(Valeurs!$D$2:$D$40,MATCH(E90,Valeurs!$A$2:$A$40,0))</f>
        <v>90</v>
      </c>
      <c r="I90" s="72" t="n">
        <f aca="false">F90/INDEX(Valeurs!$B$2:$B$40,MATCH(E90,Valeurs!$A$2:$A$40,0))*INDEX(Valeurs!$E$2:$E$40,MATCH(E90,Valeurs!$A$2:$A$40,0))</f>
        <v>1.1</v>
      </c>
      <c r="J90" s="64" t="n">
        <v>1</v>
      </c>
    </row>
    <row r="91" customFormat="false" ht="15" hidden="false" customHeight="false" outlineLevel="0" collapsed="false">
      <c r="A91" s="70" t="n">
        <v>46298</v>
      </c>
      <c r="B91" s="64" t="s">
        <v>10</v>
      </c>
      <c r="C91" s="64" t="s">
        <v>11</v>
      </c>
      <c r="D91" s="64" t="s">
        <v>7</v>
      </c>
      <c r="E91" s="64" t="s">
        <v>14</v>
      </c>
      <c r="F91" s="71" t="n">
        <f aca="false">Menu!E55</f>
        <v>0</v>
      </c>
      <c r="G91" s="64" t="s">
        <v>15</v>
      </c>
      <c r="H91" s="66" t="n">
        <f aca="false">F91/INDEX(Valeurs!$B$2:$B$40,MATCH(E91,Valeurs!$A$2:$A$40,0))*INDEX(Valeurs!$D$2:$D$40,MATCH(E91,Valeurs!$A$2:$A$40,0))</f>
        <v>0</v>
      </c>
      <c r="I91" s="72" t="n">
        <f aca="false">F91/INDEX(Valeurs!$B$2:$B$40,MATCH(E91,Valeurs!$A$2:$A$40,0))*INDEX(Valeurs!$E$2:$E$40,MATCH(E91,Valeurs!$A$2:$A$40,0))</f>
        <v>0</v>
      </c>
      <c r="J91" s="64" t="n">
        <v>1</v>
      </c>
    </row>
    <row r="92" customFormat="false" ht="15" hidden="false" customHeight="false" outlineLevel="0" collapsed="false">
      <c r="A92" s="70" t="n">
        <v>46298</v>
      </c>
      <c r="B92" s="64" t="s">
        <v>10</v>
      </c>
      <c r="C92" s="64" t="s">
        <v>11</v>
      </c>
      <c r="D92" s="64" t="s">
        <v>6</v>
      </c>
      <c r="E92" s="64" t="s">
        <v>16</v>
      </c>
      <c r="F92" s="71" t="n">
        <f aca="false">Menu!D56</f>
        <v>65</v>
      </c>
      <c r="G92" s="64" t="s">
        <v>15</v>
      </c>
      <c r="H92" s="66" t="n">
        <f aca="false">F92/INDEX(Valeurs!$B$2:$B$40,MATCH(E92,Valeurs!$A$2:$A$40,0))*INDEX(Valeurs!$D$2:$D$40,MATCH(E92,Valeurs!$A$2:$A$40,0))</f>
        <v>241.8</v>
      </c>
      <c r="I92" s="72" t="n">
        <f aca="false">F92/INDEX(Valeurs!$B$2:$B$40,MATCH(E92,Valeurs!$A$2:$A$40,0))*INDEX(Valeurs!$E$2:$E$40,MATCH(E92,Valeurs!$A$2:$A$40,0))</f>
        <v>8.775</v>
      </c>
      <c r="J92" s="64" t="n">
        <v>1</v>
      </c>
    </row>
    <row r="93" customFormat="false" ht="15" hidden="false" customHeight="false" outlineLevel="0" collapsed="false">
      <c r="A93" s="70" t="n">
        <v>46298</v>
      </c>
      <c r="B93" s="64" t="s">
        <v>10</v>
      </c>
      <c r="C93" s="64" t="s">
        <v>11</v>
      </c>
      <c r="D93" s="64" t="s">
        <v>7</v>
      </c>
      <c r="E93" s="64" t="s">
        <v>16</v>
      </c>
      <c r="F93" s="71" t="n">
        <f aca="false">Menu!E56</f>
        <v>0</v>
      </c>
      <c r="G93" s="64" t="s">
        <v>15</v>
      </c>
      <c r="H93" s="66" t="n">
        <f aca="false">F93/INDEX(Valeurs!$B$2:$B$40,MATCH(E93,Valeurs!$A$2:$A$40,0))*INDEX(Valeurs!$D$2:$D$40,MATCH(E93,Valeurs!$A$2:$A$40,0))</f>
        <v>0</v>
      </c>
      <c r="I93" s="72" t="n">
        <f aca="false">F93/INDEX(Valeurs!$B$2:$B$40,MATCH(E93,Valeurs!$A$2:$A$40,0))*INDEX(Valeurs!$E$2:$E$40,MATCH(E93,Valeurs!$A$2:$A$40,0))</f>
        <v>0</v>
      </c>
      <c r="J93" s="64" t="n">
        <v>1</v>
      </c>
    </row>
    <row r="94" customFormat="false" ht="15" hidden="false" customHeight="false" outlineLevel="0" collapsed="false">
      <c r="A94" s="70" t="n">
        <v>46298</v>
      </c>
      <c r="B94" s="64" t="s">
        <v>10</v>
      </c>
      <c r="C94" s="64" t="s">
        <v>11</v>
      </c>
      <c r="D94" s="64" t="s">
        <v>6</v>
      </c>
      <c r="E94" s="64" t="s">
        <v>17</v>
      </c>
      <c r="F94" s="71" t="n">
        <f aca="false">Menu!D57</f>
        <v>1</v>
      </c>
      <c r="G94" s="64" t="s">
        <v>171</v>
      </c>
      <c r="H94" s="66" t="n">
        <f aca="false">F94/INDEX(Valeurs!$B$2:$B$40,MATCH(E94,Valeurs!$A$2:$A$40,0))*INDEX(Valeurs!$D$2:$D$40,MATCH(E94,Valeurs!$A$2:$A$40,0))</f>
        <v>87</v>
      </c>
      <c r="I94" s="72" t="n">
        <f aca="false">F94/INDEX(Valeurs!$B$2:$B$40,MATCH(E94,Valeurs!$A$2:$A$40,0))*INDEX(Valeurs!$E$2:$E$40,MATCH(E94,Valeurs!$A$2:$A$40,0))</f>
        <v>7.5</v>
      </c>
      <c r="J94" s="64" t="n">
        <v>1</v>
      </c>
    </row>
    <row r="95" customFormat="false" ht="15" hidden="false" customHeight="false" outlineLevel="0" collapsed="false">
      <c r="A95" s="70" t="n">
        <v>46298</v>
      </c>
      <c r="B95" s="64" t="s">
        <v>10</v>
      </c>
      <c r="C95" s="64" t="s">
        <v>11</v>
      </c>
      <c r="D95" s="64" t="s">
        <v>7</v>
      </c>
      <c r="E95" s="64" t="s">
        <v>17</v>
      </c>
      <c r="F95" s="71" t="n">
        <f aca="false">Menu!E57</f>
        <v>2</v>
      </c>
      <c r="G95" s="64" t="s">
        <v>171</v>
      </c>
      <c r="H95" s="66" t="n">
        <f aca="false">F95/INDEX(Valeurs!$B$2:$B$40,MATCH(E95,Valeurs!$A$2:$A$40,0))*INDEX(Valeurs!$D$2:$D$40,MATCH(E95,Valeurs!$A$2:$A$40,0))</f>
        <v>174</v>
      </c>
      <c r="I95" s="72" t="n">
        <f aca="false">F95/INDEX(Valeurs!$B$2:$B$40,MATCH(E95,Valeurs!$A$2:$A$40,0))*INDEX(Valeurs!$E$2:$E$40,MATCH(E95,Valeurs!$A$2:$A$40,0))</f>
        <v>15</v>
      </c>
      <c r="J95" s="64" t="n">
        <v>1</v>
      </c>
    </row>
    <row r="96" customFormat="false" ht="15" hidden="false" customHeight="false" outlineLevel="0" collapsed="false">
      <c r="A96" s="70" t="n">
        <v>46298</v>
      </c>
      <c r="B96" s="64" t="s">
        <v>10</v>
      </c>
      <c r="C96" s="64" t="s">
        <v>11</v>
      </c>
      <c r="D96" s="64" t="s">
        <v>6</v>
      </c>
      <c r="E96" s="64" t="s">
        <v>19</v>
      </c>
      <c r="F96" s="71" t="n">
        <f aca="false">Menu!D58</f>
        <v>0</v>
      </c>
      <c r="G96" s="64" t="s">
        <v>15</v>
      </c>
      <c r="H96" s="66" t="n">
        <f aca="false">F96/INDEX(Valeurs!$B$2:$B$40,MATCH(E96,Valeurs!$A$2:$A$40,0))*INDEX(Valeurs!$D$2:$D$40,MATCH(E96,Valeurs!$A$2:$A$40,0))</f>
        <v>0</v>
      </c>
      <c r="I96" s="72" t="n">
        <f aca="false">F96/INDEX(Valeurs!$B$2:$B$40,MATCH(E96,Valeurs!$A$2:$A$40,0))*INDEX(Valeurs!$E$2:$E$40,MATCH(E96,Valeurs!$A$2:$A$40,0))</f>
        <v>0</v>
      </c>
      <c r="J96" s="64" t="n">
        <v>1</v>
      </c>
    </row>
    <row r="97" customFormat="false" ht="15" hidden="false" customHeight="false" outlineLevel="0" collapsed="false">
      <c r="A97" s="70" t="n">
        <v>46298</v>
      </c>
      <c r="B97" s="64" t="s">
        <v>10</v>
      </c>
      <c r="C97" s="64" t="s">
        <v>11</v>
      </c>
      <c r="D97" s="64" t="s">
        <v>7</v>
      </c>
      <c r="E97" s="64" t="s">
        <v>19</v>
      </c>
      <c r="F97" s="71" t="n">
        <f aca="false">Menu!E58</f>
        <v>30</v>
      </c>
      <c r="G97" s="64" t="s">
        <v>15</v>
      </c>
      <c r="H97" s="66" t="n">
        <f aca="false">F97/INDEX(Valeurs!$B$2:$B$40,MATCH(E97,Valeurs!$A$2:$A$40,0))*INDEX(Valeurs!$D$2:$D$40,MATCH(E97,Valeurs!$A$2:$A$40,0))</f>
        <v>33</v>
      </c>
      <c r="I97" s="72" t="n">
        <f aca="false">F97/INDEX(Valeurs!$B$2:$B$40,MATCH(E97,Valeurs!$A$2:$A$40,0))*INDEX(Valeurs!$E$2:$E$40,MATCH(E97,Valeurs!$A$2:$A$40,0))</f>
        <v>6</v>
      </c>
      <c r="J97" s="64" t="n">
        <v>1</v>
      </c>
    </row>
    <row r="98" customFormat="false" ht="15" hidden="false" customHeight="false" outlineLevel="0" collapsed="false">
      <c r="A98" s="70" t="n">
        <v>46298</v>
      </c>
      <c r="B98" s="64" t="s">
        <v>10</v>
      </c>
      <c r="C98" s="64" t="s">
        <v>11</v>
      </c>
      <c r="D98" s="64" t="s">
        <v>6</v>
      </c>
      <c r="E98" s="64" t="s">
        <v>20</v>
      </c>
      <c r="F98" s="71" t="n">
        <f aca="false">Menu!D59</f>
        <v>0</v>
      </c>
      <c r="G98" s="64" t="s">
        <v>15</v>
      </c>
      <c r="H98" s="66" t="n">
        <f aca="false">F98/INDEX(Valeurs!$B$2:$B$40,MATCH(E98,Valeurs!$A$2:$A$40,0))*INDEX(Valeurs!$D$2:$D$40,MATCH(E98,Valeurs!$A$2:$A$40,0))</f>
        <v>0</v>
      </c>
      <c r="I98" s="72" t="n">
        <f aca="false">F98/INDEX(Valeurs!$B$2:$B$40,MATCH(E98,Valeurs!$A$2:$A$40,0))*INDEX(Valeurs!$E$2:$E$40,MATCH(E98,Valeurs!$A$2:$A$40,0))</f>
        <v>0</v>
      </c>
      <c r="J98" s="64" t="n">
        <v>1</v>
      </c>
    </row>
    <row r="99" customFormat="false" ht="15" hidden="false" customHeight="false" outlineLevel="0" collapsed="false">
      <c r="A99" s="70" t="n">
        <v>46298</v>
      </c>
      <c r="B99" s="64" t="s">
        <v>10</v>
      </c>
      <c r="C99" s="64" t="s">
        <v>11</v>
      </c>
      <c r="D99" s="64" t="s">
        <v>7</v>
      </c>
      <c r="E99" s="64" t="s">
        <v>20</v>
      </c>
      <c r="F99" s="71" t="n">
        <f aca="false">Menu!E59</f>
        <v>80</v>
      </c>
      <c r="G99" s="64" t="s">
        <v>15</v>
      </c>
      <c r="H99" s="66" t="n">
        <f aca="false">F99/INDEX(Valeurs!$B$2:$B$40,MATCH(E99,Valeurs!$A$2:$A$40,0))*INDEX(Valeurs!$D$2:$D$40,MATCH(E99,Valeurs!$A$2:$A$40,0))</f>
        <v>14.4</v>
      </c>
      <c r="I99" s="72" t="n">
        <f aca="false">F99/INDEX(Valeurs!$B$2:$B$40,MATCH(E99,Valeurs!$A$2:$A$40,0))*INDEX(Valeurs!$E$2:$E$40,MATCH(E99,Valeurs!$A$2:$A$40,0))</f>
        <v>0.72</v>
      </c>
      <c r="J99" s="64" t="n">
        <v>1</v>
      </c>
    </row>
    <row r="100" customFormat="false" ht="15" hidden="false" customHeight="false" outlineLevel="0" collapsed="false">
      <c r="A100" s="70" t="n">
        <v>46298</v>
      </c>
      <c r="B100" s="64" t="s">
        <v>10</v>
      </c>
      <c r="C100" s="64" t="s">
        <v>11</v>
      </c>
      <c r="D100" s="64" t="s">
        <v>6</v>
      </c>
      <c r="E100" s="64" t="s">
        <v>21</v>
      </c>
      <c r="F100" s="71" t="n">
        <f aca="false">Menu!D60</f>
        <v>0</v>
      </c>
      <c r="G100" s="64" t="s">
        <v>15</v>
      </c>
      <c r="H100" s="66" t="n">
        <f aca="false">F100/INDEX(Valeurs!$B$2:$B$40,MATCH(E100,Valeurs!$A$2:$A$40,0))*INDEX(Valeurs!$D$2:$D$40,MATCH(E100,Valeurs!$A$2:$A$40,0))</f>
        <v>0</v>
      </c>
      <c r="I100" s="72" t="n">
        <f aca="false">F100/INDEX(Valeurs!$B$2:$B$40,MATCH(E100,Valeurs!$A$2:$A$40,0))*INDEX(Valeurs!$E$2:$E$40,MATCH(E100,Valeurs!$A$2:$A$40,0))</f>
        <v>0</v>
      </c>
      <c r="J100" s="64" t="n">
        <v>1</v>
      </c>
    </row>
    <row r="101" customFormat="false" ht="15" hidden="false" customHeight="false" outlineLevel="0" collapsed="false">
      <c r="A101" s="70" t="n">
        <v>46298</v>
      </c>
      <c r="B101" s="64" t="s">
        <v>10</v>
      </c>
      <c r="C101" s="64" t="s">
        <v>11</v>
      </c>
      <c r="D101" s="64" t="s">
        <v>7</v>
      </c>
      <c r="E101" s="64" t="s">
        <v>21</v>
      </c>
      <c r="F101" s="71" t="n">
        <f aca="false">Menu!E60</f>
        <v>40</v>
      </c>
      <c r="G101" s="64" t="s">
        <v>15</v>
      </c>
      <c r="H101" s="66" t="n">
        <f aca="false">F101/INDEX(Valeurs!$B$2:$B$40,MATCH(E101,Valeurs!$A$2:$A$40,0))*INDEX(Valeurs!$D$2:$D$40,MATCH(E101,Valeurs!$A$2:$A$40,0))</f>
        <v>96</v>
      </c>
      <c r="I101" s="72" t="n">
        <f aca="false">F101/INDEX(Valeurs!$B$2:$B$40,MATCH(E101,Valeurs!$A$2:$A$40,0))*INDEX(Valeurs!$E$2:$E$40,MATCH(E101,Valeurs!$A$2:$A$40,0))</f>
        <v>3.6</v>
      </c>
      <c r="J101" s="64" t="n">
        <v>1</v>
      </c>
    </row>
    <row r="102" customFormat="false" ht="15" hidden="false" customHeight="false" outlineLevel="0" collapsed="false">
      <c r="A102" s="70" t="n">
        <v>46298</v>
      </c>
      <c r="B102" s="64" t="s">
        <v>10</v>
      </c>
      <c r="C102" s="64" t="s">
        <v>11</v>
      </c>
      <c r="D102" s="64" t="s">
        <v>6</v>
      </c>
      <c r="E102" s="64" t="s">
        <v>22</v>
      </c>
      <c r="F102" s="71" t="n">
        <f aca="false">Menu!D61</f>
        <v>0</v>
      </c>
      <c r="G102" s="64" t="s">
        <v>15</v>
      </c>
      <c r="H102" s="66" t="n">
        <f aca="false">F102/INDEX(Valeurs!$B$2:$B$40,MATCH(E102,Valeurs!$A$2:$A$40,0))*INDEX(Valeurs!$D$2:$D$40,MATCH(E102,Valeurs!$A$2:$A$40,0))</f>
        <v>0</v>
      </c>
      <c r="I102" s="72" t="n">
        <f aca="false">F102/INDEX(Valeurs!$B$2:$B$40,MATCH(E102,Valeurs!$A$2:$A$40,0))*INDEX(Valeurs!$E$2:$E$40,MATCH(E102,Valeurs!$A$2:$A$40,0))</f>
        <v>0</v>
      </c>
      <c r="J102" s="64" t="n">
        <v>1</v>
      </c>
    </row>
    <row r="103" customFormat="false" ht="15" hidden="false" customHeight="false" outlineLevel="0" collapsed="false">
      <c r="A103" s="70" t="n">
        <v>46298</v>
      </c>
      <c r="B103" s="64" t="s">
        <v>10</v>
      </c>
      <c r="C103" s="64" t="s">
        <v>11</v>
      </c>
      <c r="D103" s="64" t="s">
        <v>7</v>
      </c>
      <c r="E103" s="64" t="s">
        <v>22</v>
      </c>
      <c r="F103" s="71" t="n">
        <f aca="false">Menu!E61</f>
        <v>150</v>
      </c>
      <c r="G103" s="64" t="s">
        <v>15</v>
      </c>
      <c r="H103" s="66" t="n">
        <f aca="false">F103/INDEX(Valeurs!$B$2:$B$40,MATCH(E103,Valeurs!$A$2:$A$40,0))*INDEX(Valeurs!$D$2:$D$40,MATCH(E103,Valeurs!$A$2:$A$40,0))</f>
        <v>78</v>
      </c>
      <c r="I103" s="72" t="n">
        <f aca="false">F103/INDEX(Valeurs!$B$2:$B$40,MATCH(E103,Valeurs!$A$2:$A$40,0))*INDEX(Valeurs!$E$2:$E$40,MATCH(E103,Valeurs!$A$2:$A$40,0))</f>
        <v>0.45</v>
      </c>
      <c r="J103" s="64" t="n">
        <v>1</v>
      </c>
    </row>
    <row r="104" customFormat="false" ht="15" hidden="false" customHeight="false" outlineLevel="0" collapsed="false">
      <c r="A104" s="70" t="n">
        <v>46298</v>
      </c>
      <c r="B104" s="64" t="s">
        <v>23</v>
      </c>
      <c r="C104" s="64" t="s">
        <v>49</v>
      </c>
      <c r="D104" s="64" t="s">
        <v>6</v>
      </c>
      <c r="E104" s="64" t="s">
        <v>42</v>
      </c>
      <c r="F104" s="71" t="n">
        <f aca="false">Menu!D62</f>
        <v>150</v>
      </c>
      <c r="G104" s="64" t="s">
        <v>15</v>
      </c>
      <c r="H104" s="66" t="n">
        <f aca="false">F104/INDEX(Valeurs!$B$2:$B$40,MATCH(E104,Valeurs!$A$2:$A$40,0))*INDEX(Valeurs!$D$2:$D$40,MATCH(E104,Valeurs!$A$2:$A$40,0))</f>
        <v>150</v>
      </c>
      <c r="I104" s="72" t="n">
        <f aca="false">F104/INDEX(Valeurs!$B$2:$B$40,MATCH(E104,Valeurs!$A$2:$A$40,0))*INDEX(Valeurs!$E$2:$E$40,MATCH(E104,Valeurs!$A$2:$A$40,0))</f>
        <v>11.25</v>
      </c>
      <c r="J104" s="64" t="n">
        <v>1</v>
      </c>
    </row>
    <row r="105" customFormat="false" ht="15" hidden="false" customHeight="false" outlineLevel="0" collapsed="false">
      <c r="A105" s="70" t="n">
        <v>46298</v>
      </c>
      <c r="B105" s="64" t="s">
        <v>23</v>
      </c>
      <c r="C105" s="64" t="s">
        <v>49</v>
      </c>
      <c r="D105" s="64" t="s">
        <v>7</v>
      </c>
      <c r="E105" s="64" t="s">
        <v>42</v>
      </c>
      <c r="F105" s="71" t="n">
        <f aca="false">Menu!E62</f>
        <v>120</v>
      </c>
      <c r="G105" s="64" t="s">
        <v>15</v>
      </c>
      <c r="H105" s="66" t="n">
        <f aca="false">F105/INDEX(Valeurs!$B$2:$B$40,MATCH(E105,Valeurs!$A$2:$A$40,0))*INDEX(Valeurs!$D$2:$D$40,MATCH(E105,Valeurs!$A$2:$A$40,0))</f>
        <v>120</v>
      </c>
      <c r="I105" s="72" t="n">
        <f aca="false">F105/INDEX(Valeurs!$B$2:$B$40,MATCH(E105,Valeurs!$A$2:$A$40,0))*INDEX(Valeurs!$E$2:$E$40,MATCH(E105,Valeurs!$A$2:$A$40,0))</f>
        <v>9</v>
      </c>
      <c r="J105" s="64" t="n">
        <v>1</v>
      </c>
    </row>
    <row r="106" customFormat="false" ht="15" hidden="false" customHeight="false" outlineLevel="0" collapsed="false">
      <c r="A106" s="70" t="n">
        <v>46298</v>
      </c>
      <c r="B106" s="64" t="s">
        <v>23</v>
      </c>
      <c r="C106" s="64" t="s">
        <v>49</v>
      </c>
      <c r="D106" s="64" t="s">
        <v>6</v>
      </c>
      <c r="E106" s="64" t="s">
        <v>17</v>
      </c>
      <c r="F106" s="71" t="n">
        <f aca="false">Menu!D63</f>
        <v>2</v>
      </c>
      <c r="G106" s="64" t="s">
        <v>171</v>
      </c>
      <c r="H106" s="66" t="n">
        <f aca="false">F106/INDEX(Valeurs!$B$2:$B$40,MATCH(E106,Valeurs!$A$2:$A$40,0))*INDEX(Valeurs!$D$2:$D$40,MATCH(E106,Valeurs!$A$2:$A$40,0))</f>
        <v>174</v>
      </c>
      <c r="I106" s="72" t="n">
        <f aca="false">F106/INDEX(Valeurs!$B$2:$B$40,MATCH(E106,Valeurs!$A$2:$A$40,0))*INDEX(Valeurs!$E$2:$E$40,MATCH(E106,Valeurs!$A$2:$A$40,0))</f>
        <v>15</v>
      </c>
      <c r="J106" s="64" t="n">
        <v>1</v>
      </c>
    </row>
    <row r="107" customFormat="false" ht="15" hidden="false" customHeight="false" outlineLevel="0" collapsed="false">
      <c r="A107" s="70" t="n">
        <v>46298</v>
      </c>
      <c r="B107" s="64" t="s">
        <v>23</v>
      </c>
      <c r="C107" s="64" t="s">
        <v>49</v>
      </c>
      <c r="D107" s="64" t="s">
        <v>7</v>
      </c>
      <c r="E107" s="64" t="s">
        <v>17</v>
      </c>
      <c r="F107" s="71" t="n">
        <f aca="false">Menu!E63</f>
        <v>2</v>
      </c>
      <c r="G107" s="64" t="s">
        <v>171</v>
      </c>
      <c r="H107" s="66" t="n">
        <f aca="false">F107/INDEX(Valeurs!$B$2:$B$40,MATCH(E107,Valeurs!$A$2:$A$40,0))*INDEX(Valeurs!$D$2:$D$40,MATCH(E107,Valeurs!$A$2:$A$40,0))</f>
        <v>174</v>
      </c>
      <c r="I107" s="72" t="n">
        <f aca="false">F107/INDEX(Valeurs!$B$2:$B$40,MATCH(E107,Valeurs!$A$2:$A$40,0))*INDEX(Valeurs!$E$2:$E$40,MATCH(E107,Valeurs!$A$2:$A$40,0))</f>
        <v>15</v>
      </c>
      <c r="J107" s="64" t="n">
        <v>1</v>
      </c>
    </row>
    <row r="108" customFormat="false" ht="15" hidden="false" customHeight="false" outlineLevel="0" collapsed="false">
      <c r="A108" s="70" t="n">
        <v>46298</v>
      </c>
      <c r="B108" s="64" t="s">
        <v>23</v>
      </c>
      <c r="C108" s="64" t="s">
        <v>49</v>
      </c>
      <c r="D108" s="64" t="s">
        <v>6</v>
      </c>
      <c r="E108" s="64" t="s">
        <v>26</v>
      </c>
      <c r="F108" s="71" t="n">
        <f aca="false">Menu!D64</f>
        <v>240</v>
      </c>
      <c r="G108" s="64" t="s">
        <v>15</v>
      </c>
      <c r="H108" s="66" t="n">
        <f aca="false">F108/INDEX(Valeurs!$B$2:$B$40,MATCH(E108,Valeurs!$A$2:$A$40,0))*INDEX(Valeurs!$D$2:$D$40,MATCH(E108,Valeurs!$A$2:$A$40,0))</f>
        <v>192</v>
      </c>
      <c r="I108" s="72" t="n">
        <f aca="false">F108/INDEX(Valeurs!$B$2:$B$40,MATCH(E108,Valeurs!$A$2:$A$40,0))*INDEX(Valeurs!$E$2:$E$40,MATCH(E108,Valeurs!$A$2:$A$40,0))</f>
        <v>4.8</v>
      </c>
      <c r="J108" s="64" t="n">
        <v>1</v>
      </c>
    </row>
    <row r="109" customFormat="false" ht="15" hidden="false" customHeight="false" outlineLevel="0" collapsed="false">
      <c r="A109" s="70" t="n">
        <v>46298</v>
      </c>
      <c r="B109" s="64" t="s">
        <v>23</v>
      </c>
      <c r="C109" s="64" t="s">
        <v>49</v>
      </c>
      <c r="D109" s="64" t="s">
        <v>7</v>
      </c>
      <c r="E109" s="64" t="s">
        <v>26</v>
      </c>
      <c r="F109" s="71" t="n">
        <f aca="false">Menu!E64</f>
        <v>90</v>
      </c>
      <c r="G109" s="64" t="s">
        <v>15</v>
      </c>
      <c r="H109" s="66" t="n">
        <f aca="false">F109/INDEX(Valeurs!$B$2:$B$40,MATCH(E109,Valeurs!$A$2:$A$40,0))*INDEX(Valeurs!$D$2:$D$40,MATCH(E109,Valeurs!$A$2:$A$40,0))</f>
        <v>72</v>
      </c>
      <c r="I109" s="72" t="n">
        <f aca="false">F109/INDEX(Valeurs!$B$2:$B$40,MATCH(E109,Valeurs!$A$2:$A$40,0))*INDEX(Valeurs!$E$2:$E$40,MATCH(E109,Valeurs!$A$2:$A$40,0))</f>
        <v>1.8</v>
      </c>
      <c r="J109" s="64" t="n">
        <v>1</v>
      </c>
    </row>
    <row r="110" customFormat="false" ht="15" hidden="false" customHeight="false" outlineLevel="0" collapsed="false">
      <c r="A110" s="70" t="n">
        <v>46298</v>
      </c>
      <c r="B110" s="64" t="s">
        <v>23</v>
      </c>
      <c r="C110" s="64" t="s">
        <v>49</v>
      </c>
      <c r="D110" s="64" t="s">
        <v>6</v>
      </c>
      <c r="E110" s="64" t="s">
        <v>20</v>
      </c>
      <c r="F110" s="71" t="n">
        <f aca="false">Menu!D65</f>
        <v>150</v>
      </c>
      <c r="G110" s="64" t="s">
        <v>15</v>
      </c>
      <c r="H110" s="66" t="n">
        <f aca="false">F110/INDEX(Valeurs!$B$2:$B$40,MATCH(E110,Valeurs!$A$2:$A$40,0))*INDEX(Valeurs!$D$2:$D$40,MATCH(E110,Valeurs!$A$2:$A$40,0))</f>
        <v>27</v>
      </c>
      <c r="I110" s="72" t="n">
        <f aca="false">F110/INDEX(Valeurs!$B$2:$B$40,MATCH(E110,Valeurs!$A$2:$A$40,0))*INDEX(Valeurs!$E$2:$E$40,MATCH(E110,Valeurs!$A$2:$A$40,0))</f>
        <v>1.35</v>
      </c>
      <c r="J110" s="64" t="n">
        <v>1</v>
      </c>
    </row>
    <row r="111" customFormat="false" ht="15" hidden="false" customHeight="false" outlineLevel="0" collapsed="false">
      <c r="A111" s="70" t="n">
        <v>46298</v>
      </c>
      <c r="B111" s="64" t="s">
        <v>23</v>
      </c>
      <c r="C111" s="64" t="s">
        <v>49</v>
      </c>
      <c r="D111" s="64" t="s">
        <v>7</v>
      </c>
      <c r="E111" s="64" t="s">
        <v>20</v>
      </c>
      <c r="F111" s="71" t="n">
        <f aca="false">Menu!E65</f>
        <v>180</v>
      </c>
      <c r="G111" s="64" t="s">
        <v>15</v>
      </c>
      <c r="H111" s="66" t="n">
        <f aca="false">F111/INDEX(Valeurs!$B$2:$B$40,MATCH(E111,Valeurs!$A$2:$A$40,0))*INDEX(Valeurs!$D$2:$D$40,MATCH(E111,Valeurs!$A$2:$A$40,0))</f>
        <v>32.4</v>
      </c>
      <c r="I111" s="72" t="n">
        <f aca="false">F111/INDEX(Valeurs!$B$2:$B$40,MATCH(E111,Valeurs!$A$2:$A$40,0))*INDEX(Valeurs!$E$2:$E$40,MATCH(E111,Valeurs!$A$2:$A$40,0))</f>
        <v>1.62</v>
      </c>
      <c r="J111" s="64" t="n">
        <v>1</v>
      </c>
    </row>
    <row r="112" customFormat="false" ht="15" hidden="false" customHeight="false" outlineLevel="0" collapsed="false">
      <c r="A112" s="70" t="n">
        <v>46298</v>
      </c>
      <c r="B112" s="64" t="s">
        <v>23</v>
      </c>
      <c r="C112" s="64" t="s">
        <v>49</v>
      </c>
      <c r="D112" s="64" t="s">
        <v>6</v>
      </c>
      <c r="E112" s="64" t="s">
        <v>35</v>
      </c>
      <c r="F112" s="71" t="n">
        <f aca="false">Menu!D66</f>
        <v>30</v>
      </c>
      <c r="G112" s="64" t="s">
        <v>15</v>
      </c>
      <c r="H112" s="66" t="n">
        <f aca="false">F112/INDEX(Valeurs!$B$2:$B$40,MATCH(E112,Valeurs!$A$2:$A$40,0))*INDEX(Valeurs!$D$2:$D$40,MATCH(E112,Valeurs!$A$2:$A$40,0))</f>
        <v>12</v>
      </c>
      <c r="I112" s="72" t="n">
        <f aca="false">F112/INDEX(Valeurs!$B$2:$B$40,MATCH(E112,Valeurs!$A$2:$A$40,0))*INDEX(Valeurs!$E$2:$E$40,MATCH(E112,Valeurs!$A$2:$A$40,0))</f>
        <v>0.33</v>
      </c>
      <c r="J112" s="64" t="n">
        <v>1</v>
      </c>
    </row>
    <row r="113" customFormat="false" ht="15" hidden="false" customHeight="false" outlineLevel="0" collapsed="false">
      <c r="A113" s="70" t="n">
        <v>46298</v>
      </c>
      <c r="B113" s="64" t="s">
        <v>23</v>
      </c>
      <c r="C113" s="64" t="s">
        <v>49</v>
      </c>
      <c r="D113" s="64" t="s">
        <v>7</v>
      </c>
      <c r="E113" s="64" t="s">
        <v>35</v>
      </c>
      <c r="F113" s="71" t="n">
        <f aca="false">Menu!E66</f>
        <v>30</v>
      </c>
      <c r="G113" s="64" t="s">
        <v>15</v>
      </c>
      <c r="H113" s="66" t="n">
        <f aca="false">F113/INDEX(Valeurs!$B$2:$B$40,MATCH(E113,Valeurs!$A$2:$A$40,0))*INDEX(Valeurs!$D$2:$D$40,MATCH(E113,Valeurs!$A$2:$A$40,0))</f>
        <v>12</v>
      </c>
      <c r="I113" s="72" t="n">
        <f aca="false">F113/INDEX(Valeurs!$B$2:$B$40,MATCH(E113,Valeurs!$A$2:$A$40,0))*INDEX(Valeurs!$E$2:$E$40,MATCH(E113,Valeurs!$A$2:$A$40,0))</f>
        <v>0.33</v>
      </c>
      <c r="J113" s="64" t="n">
        <v>1</v>
      </c>
    </row>
    <row r="114" customFormat="false" ht="15" hidden="false" customHeight="false" outlineLevel="0" collapsed="false">
      <c r="A114" s="70" t="n">
        <v>46298</v>
      </c>
      <c r="B114" s="64" t="s">
        <v>23</v>
      </c>
      <c r="C114" s="64" t="s">
        <v>49</v>
      </c>
      <c r="D114" s="64" t="s">
        <v>6</v>
      </c>
      <c r="E114" s="64" t="s">
        <v>28</v>
      </c>
      <c r="F114" s="71" t="n">
        <f aca="false">Menu!D67</f>
        <v>10</v>
      </c>
      <c r="G114" s="64" t="s">
        <v>15</v>
      </c>
      <c r="H114" s="66" t="n">
        <f aca="false">F114/INDEX(Valeurs!$B$2:$B$40,MATCH(E114,Valeurs!$A$2:$A$40,0))*INDEX(Valeurs!$D$2:$D$40,MATCH(E114,Valeurs!$A$2:$A$40,0))</f>
        <v>90</v>
      </c>
      <c r="I114" s="72" t="n">
        <f aca="false">F114/INDEX(Valeurs!$B$2:$B$40,MATCH(E114,Valeurs!$A$2:$A$40,0))*INDEX(Valeurs!$E$2:$E$40,MATCH(E114,Valeurs!$A$2:$A$40,0))</f>
        <v>0</v>
      </c>
      <c r="J114" s="64" t="n">
        <v>1</v>
      </c>
    </row>
    <row r="115" customFormat="false" ht="15" hidden="false" customHeight="false" outlineLevel="0" collapsed="false">
      <c r="A115" s="70" t="n">
        <v>46298</v>
      </c>
      <c r="B115" s="64" t="s">
        <v>23</v>
      </c>
      <c r="C115" s="64" t="s">
        <v>49</v>
      </c>
      <c r="D115" s="64" t="s">
        <v>7</v>
      </c>
      <c r="E115" s="64" t="s">
        <v>28</v>
      </c>
      <c r="F115" s="71" t="n">
        <f aca="false">Menu!E67</f>
        <v>7</v>
      </c>
      <c r="G115" s="64" t="s">
        <v>15</v>
      </c>
      <c r="H115" s="66" t="n">
        <f aca="false">F115/INDEX(Valeurs!$B$2:$B$40,MATCH(E115,Valeurs!$A$2:$A$40,0))*INDEX(Valeurs!$D$2:$D$40,MATCH(E115,Valeurs!$A$2:$A$40,0))</f>
        <v>63</v>
      </c>
      <c r="I115" s="72" t="n">
        <f aca="false">F115/INDEX(Valeurs!$B$2:$B$40,MATCH(E115,Valeurs!$A$2:$A$40,0))*INDEX(Valeurs!$E$2:$E$40,MATCH(E115,Valeurs!$A$2:$A$40,0))</f>
        <v>0</v>
      </c>
      <c r="J115" s="64" t="n">
        <v>1</v>
      </c>
    </row>
    <row r="116" customFormat="false" ht="15" hidden="false" customHeight="false" outlineLevel="0" collapsed="false">
      <c r="A116" s="70" t="n">
        <v>46298</v>
      </c>
      <c r="B116" s="64" t="s">
        <v>29</v>
      </c>
      <c r="C116" s="64" t="s">
        <v>50</v>
      </c>
      <c r="D116" s="64" t="s">
        <v>6</v>
      </c>
      <c r="E116" s="64" t="s">
        <v>51</v>
      </c>
      <c r="F116" s="71" t="n">
        <f aca="false">Menu!D68</f>
        <v>130</v>
      </c>
      <c r="G116" s="64" t="s">
        <v>15</v>
      </c>
      <c r="H116" s="66" t="n">
        <f aca="false">F116/INDEX(Valeurs!$B$2:$B$40,MATCH(E116,Valeurs!$A$2:$A$40,0))*INDEX(Valeurs!$D$2:$D$40,MATCH(E116,Valeurs!$A$2:$A$40,0))</f>
        <v>182</v>
      </c>
      <c r="I116" s="72" t="n">
        <f aca="false">F116/INDEX(Valeurs!$B$2:$B$40,MATCH(E116,Valeurs!$A$2:$A$40,0))*INDEX(Valeurs!$E$2:$E$40,MATCH(E116,Valeurs!$A$2:$A$40,0))</f>
        <v>27.3</v>
      </c>
      <c r="J116" s="64" t="n">
        <v>1</v>
      </c>
    </row>
    <row r="117" customFormat="false" ht="15" hidden="false" customHeight="false" outlineLevel="0" collapsed="false">
      <c r="A117" s="70" t="n">
        <v>46298</v>
      </c>
      <c r="B117" s="64" t="s">
        <v>29</v>
      </c>
      <c r="C117" s="64" t="s">
        <v>50</v>
      </c>
      <c r="D117" s="64" t="s">
        <v>7</v>
      </c>
      <c r="E117" s="64" t="s">
        <v>51</v>
      </c>
      <c r="F117" s="71" t="n">
        <f aca="false">Menu!E68</f>
        <v>100</v>
      </c>
      <c r="G117" s="64" t="s">
        <v>15</v>
      </c>
      <c r="H117" s="66" t="n">
        <f aca="false">F117/INDEX(Valeurs!$B$2:$B$40,MATCH(E117,Valeurs!$A$2:$A$40,0))*INDEX(Valeurs!$D$2:$D$40,MATCH(E117,Valeurs!$A$2:$A$40,0))</f>
        <v>140</v>
      </c>
      <c r="I117" s="72" t="n">
        <f aca="false">F117/INDEX(Valeurs!$B$2:$B$40,MATCH(E117,Valeurs!$A$2:$A$40,0))*INDEX(Valeurs!$E$2:$E$40,MATCH(E117,Valeurs!$A$2:$A$40,0))</f>
        <v>21</v>
      </c>
      <c r="J117" s="64" t="n">
        <v>1</v>
      </c>
    </row>
    <row r="118" customFormat="false" ht="15" hidden="false" customHeight="false" outlineLevel="0" collapsed="false">
      <c r="A118" s="70" t="n">
        <v>46298</v>
      </c>
      <c r="B118" s="64" t="s">
        <v>29</v>
      </c>
      <c r="C118" s="64" t="s">
        <v>50</v>
      </c>
      <c r="D118" s="64" t="s">
        <v>6</v>
      </c>
      <c r="E118" s="64" t="s">
        <v>43</v>
      </c>
      <c r="F118" s="71" t="n">
        <f aca="false">Menu!D69</f>
        <v>85</v>
      </c>
      <c r="G118" s="64" t="s">
        <v>15</v>
      </c>
      <c r="H118" s="66" t="n">
        <f aca="false">F118/INDEX(Valeurs!$B$2:$B$40,MATCH(E118,Valeurs!$A$2:$A$40,0))*INDEX(Valeurs!$D$2:$D$40,MATCH(E118,Valeurs!$A$2:$A$40,0))</f>
        <v>301.75</v>
      </c>
      <c r="I118" s="72" t="n">
        <f aca="false">F118/INDEX(Valeurs!$B$2:$B$40,MATCH(E118,Valeurs!$A$2:$A$40,0))*INDEX(Valeurs!$E$2:$E$40,MATCH(E118,Valeurs!$A$2:$A$40,0))</f>
        <v>5.95</v>
      </c>
      <c r="J118" s="64" t="n">
        <v>1</v>
      </c>
    </row>
    <row r="119" customFormat="false" ht="15" hidden="false" customHeight="false" outlineLevel="0" collapsed="false">
      <c r="A119" s="70" t="n">
        <v>46298</v>
      </c>
      <c r="B119" s="64" t="s">
        <v>29</v>
      </c>
      <c r="C119" s="64" t="s">
        <v>50</v>
      </c>
      <c r="D119" s="64" t="s">
        <v>7</v>
      </c>
      <c r="E119" s="64" t="s">
        <v>43</v>
      </c>
      <c r="F119" s="71" t="n">
        <f aca="false">Menu!E69</f>
        <v>45</v>
      </c>
      <c r="G119" s="64" t="s">
        <v>15</v>
      </c>
      <c r="H119" s="66" t="n">
        <f aca="false">F119/INDEX(Valeurs!$B$2:$B$40,MATCH(E119,Valeurs!$A$2:$A$40,0))*INDEX(Valeurs!$D$2:$D$40,MATCH(E119,Valeurs!$A$2:$A$40,0))</f>
        <v>159.75</v>
      </c>
      <c r="I119" s="72" t="n">
        <f aca="false">F119/INDEX(Valeurs!$B$2:$B$40,MATCH(E119,Valeurs!$A$2:$A$40,0))*INDEX(Valeurs!$E$2:$E$40,MATCH(E119,Valeurs!$A$2:$A$40,0))</f>
        <v>3.15</v>
      </c>
      <c r="J119" s="64" t="n">
        <v>1</v>
      </c>
    </row>
    <row r="120" customFormat="false" ht="15" hidden="false" customHeight="false" outlineLevel="0" collapsed="false">
      <c r="A120" s="70" t="n">
        <v>46298</v>
      </c>
      <c r="B120" s="64" t="s">
        <v>29</v>
      </c>
      <c r="C120" s="64" t="s">
        <v>50</v>
      </c>
      <c r="D120" s="64" t="s">
        <v>6</v>
      </c>
      <c r="E120" s="64" t="s">
        <v>34</v>
      </c>
      <c r="F120" s="71" t="n">
        <f aca="false">Menu!D70</f>
        <v>60</v>
      </c>
      <c r="G120" s="64" t="s">
        <v>15</v>
      </c>
      <c r="H120" s="66" t="n">
        <f aca="false">F120/INDEX(Valeurs!$B$2:$B$40,MATCH(E120,Valeurs!$A$2:$A$40,0))*INDEX(Valeurs!$D$2:$D$40,MATCH(E120,Valeurs!$A$2:$A$40,0))</f>
        <v>16.2</v>
      </c>
      <c r="I120" s="72" t="n">
        <f aca="false">F120/INDEX(Valeurs!$B$2:$B$40,MATCH(E120,Valeurs!$A$2:$A$40,0))*INDEX(Valeurs!$E$2:$E$40,MATCH(E120,Valeurs!$A$2:$A$40,0))</f>
        <v>0.6</v>
      </c>
      <c r="J120" s="64" t="n">
        <v>1</v>
      </c>
    </row>
    <row r="121" customFormat="false" ht="15" hidden="false" customHeight="false" outlineLevel="0" collapsed="false">
      <c r="A121" s="70" t="n">
        <v>46298</v>
      </c>
      <c r="B121" s="64" t="s">
        <v>29</v>
      </c>
      <c r="C121" s="64" t="s">
        <v>50</v>
      </c>
      <c r="D121" s="64" t="s">
        <v>7</v>
      </c>
      <c r="E121" s="64" t="s">
        <v>34</v>
      </c>
      <c r="F121" s="71" t="n">
        <f aca="false">Menu!E70</f>
        <v>80</v>
      </c>
      <c r="G121" s="64" t="s">
        <v>15</v>
      </c>
      <c r="H121" s="66" t="n">
        <f aca="false">F121/INDEX(Valeurs!$B$2:$B$40,MATCH(E121,Valeurs!$A$2:$A$40,0))*INDEX(Valeurs!$D$2:$D$40,MATCH(E121,Valeurs!$A$2:$A$40,0))</f>
        <v>21.6</v>
      </c>
      <c r="I121" s="72" t="n">
        <f aca="false">F121/INDEX(Valeurs!$B$2:$B$40,MATCH(E121,Valeurs!$A$2:$A$40,0))*INDEX(Valeurs!$E$2:$E$40,MATCH(E121,Valeurs!$A$2:$A$40,0))</f>
        <v>0.8</v>
      </c>
      <c r="J121" s="64" t="n">
        <v>1</v>
      </c>
    </row>
    <row r="122" customFormat="false" ht="15" hidden="false" customHeight="false" outlineLevel="0" collapsed="false">
      <c r="A122" s="70" t="n">
        <v>46298</v>
      </c>
      <c r="B122" s="64" t="s">
        <v>29</v>
      </c>
      <c r="C122" s="64" t="s">
        <v>50</v>
      </c>
      <c r="D122" s="64" t="s">
        <v>6</v>
      </c>
      <c r="E122" s="64" t="s">
        <v>44</v>
      </c>
      <c r="F122" s="71" t="n">
        <f aca="false">Menu!D71</f>
        <v>80</v>
      </c>
      <c r="G122" s="64" t="s">
        <v>15</v>
      </c>
      <c r="H122" s="66" t="n">
        <f aca="false">F122/INDEX(Valeurs!$B$2:$B$40,MATCH(E122,Valeurs!$A$2:$A$40,0))*INDEX(Valeurs!$D$2:$D$40,MATCH(E122,Valeurs!$A$2:$A$40,0))</f>
        <v>32.8</v>
      </c>
      <c r="I122" s="72" t="n">
        <f aca="false">F122/INDEX(Valeurs!$B$2:$B$40,MATCH(E122,Valeurs!$A$2:$A$40,0))*INDEX(Valeurs!$E$2:$E$40,MATCH(E122,Valeurs!$A$2:$A$40,0))</f>
        <v>0.72</v>
      </c>
      <c r="J122" s="64" t="n">
        <v>1</v>
      </c>
    </row>
    <row r="123" customFormat="false" ht="15" hidden="false" customHeight="false" outlineLevel="0" collapsed="false">
      <c r="A123" s="70" t="n">
        <v>46298</v>
      </c>
      <c r="B123" s="64" t="s">
        <v>29</v>
      </c>
      <c r="C123" s="64" t="s">
        <v>50</v>
      </c>
      <c r="D123" s="64" t="s">
        <v>7</v>
      </c>
      <c r="E123" s="64" t="s">
        <v>44</v>
      </c>
      <c r="F123" s="71" t="n">
        <f aca="false">Menu!E71</f>
        <v>100</v>
      </c>
      <c r="G123" s="64" t="s">
        <v>15</v>
      </c>
      <c r="H123" s="66" t="n">
        <f aca="false">F123/INDEX(Valeurs!$B$2:$B$40,MATCH(E123,Valeurs!$A$2:$A$40,0))*INDEX(Valeurs!$D$2:$D$40,MATCH(E123,Valeurs!$A$2:$A$40,0))</f>
        <v>41</v>
      </c>
      <c r="I123" s="72" t="n">
        <f aca="false">F123/INDEX(Valeurs!$B$2:$B$40,MATCH(E123,Valeurs!$A$2:$A$40,0))*INDEX(Valeurs!$E$2:$E$40,MATCH(E123,Valeurs!$A$2:$A$40,0))</f>
        <v>0.9</v>
      </c>
      <c r="J123" s="64" t="n">
        <v>1</v>
      </c>
    </row>
    <row r="124" customFormat="false" ht="15" hidden="false" customHeight="false" outlineLevel="0" collapsed="false">
      <c r="A124" s="70" t="n">
        <v>46298</v>
      </c>
      <c r="B124" s="64" t="s">
        <v>29</v>
      </c>
      <c r="C124" s="64" t="s">
        <v>50</v>
      </c>
      <c r="D124" s="64" t="s">
        <v>6</v>
      </c>
      <c r="E124" s="64" t="s">
        <v>35</v>
      </c>
      <c r="F124" s="71" t="n">
        <f aca="false">Menu!D72</f>
        <v>30</v>
      </c>
      <c r="G124" s="64" t="s">
        <v>15</v>
      </c>
      <c r="H124" s="66" t="n">
        <f aca="false">F124/INDEX(Valeurs!$B$2:$B$40,MATCH(E124,Valeurs!$A$2:$A$40,0))*INDEX(Valeurs!$D$2:$D$40,MATCH(E124,Valeurs!$A$2:$A$40,0))</f>
        <v>12</v>
      </c>
      <c r="I124" s="72" t="n">
        <f aca="false">F124/INDEX(Valeurs!$B$2:$B$40,MATCH(E124,Valeurs!$A$2:$A$40,0))*INDEX(Valeurs!$E$2:$E$40,MATCH(E124,Valeurs!$A$2:$A$40,0))</f>
        <v>0.33</v>
      </c>
      <c r="J124" s="64" t="n">
        <v>1</v>
      </c>
    </row>
    <row r="125" customFormat="false" ht="15" hidden="false" customHeight="false" outlineLevel="0" collapsed="false">
      <c r="A125" s="70" t="n">
        <v>46298</v>
      </c>
      <c r="B125" s="64" t="s">
        <v>29</v>
      </c>
      <c r="C125" s="64" t="s">
        <v>50</v>
      </c>
      <c r="D125" s="64" t="s">
        <v>7</v>
      </c>
      <c r="E125" s="64" t="s">
        <v>35</v>
      </c>
      <c r="F125" s="71" t="n">
        <f aca="false">Menu!E72</f>
        <v>30</v>
      </c>
      <c r="G125" s="64" t="s">
        <v>15</v>
      </c>
      <c r="H125" s="66" t="n">
        <f aca="false">F125/INDEX(Valeurs!$B$2:$B$40,MATCH(E125,Valeurs!$A$2:$A$40,0))*INDEX(Valeurs!$D$2:$D$40,MATCH(E125,Valeurs!$A$2:$A$40,0))</f>
        <v>12</v>
      </c>
      <c r="I125" s="72" t="n">
        <f aca="false">F125/INDEX(Valeurs!$B$2:$B$40,MATCH(E125,Valeurs!$A$2:$A$40,0))*INDEX(Valeurs!$E$2:$E$40,MATCH(E125,Valeurs!$A$2:$A$40,0))</f>
        <v>0.33</v>
      </c>
      <c r="J125" s="64" t="n">
        <v>1</v>
      </c>
    </row>
    <row r="126" customFormat="false" ht="15" hidden="false" customHeight="false" outlineLevel="0" collapsed="false">
      <c r="A126" s="70" t="n">
        <v>46298</v>
      </c>
      <c r="B126" s="64" t="s">
        <v>29</v>
      </c>
      <c r="C126" s="64" t="s">
        <v>50</v>
      </c>
      <c r="D126" s="64" t="s">
        <v>6</v>
      </c>
      <c r="E126" s="64" t="s">
        <v>28</v>
      </c>
      <c r="F126" s="71" t="n">
        <f aca="false">Menu!D73</f>
        <v>10</v>
      </c>
      <c r="G126" s="64" t="s">
        <v>15</v>
      </c>
      <c r="H126" s="66" t="n">
        <f aca="false">F126/INDEX(Valeurs!$B$2:$B$40,MATCH(E126,Valeurs!$A$2:$A$40,0))*INDEX(Valeurs!$D$2:$D$40,MATCH(E126,Valeurs!$A$2:$A$40,0))</f>
        <v>90</v>
      </c>
      <c r="I126" s="72" t="n">
        <f aca="false">F126/INDEX(Valeurs!$B$2:$B$40,MATCH(E126,Valeurs!$A$2:$A$40,0))*INDEX(Valeurs!$E$2:$E$40,MATCH(E126,Valeurs!$A$2:$A$40,0))</f>
        <v>0</v>
      </c>
      <c r="J126" s="64" t="n">
        <v>1</v>
      </c>
    </row>
    <row r="127" customFormat="false" ht="15" hidden="false" customHeight="false" outlineLevel="0" collapsed="false">
      <c r="A127" s="70" t="n">
        <v>46298</v>
      </c>
      <c r="B127" s="64" t="s">
        <v>29</v>
      </c>
      <c r="C127" s="64" t="s">
        <v>50</v>
      </c>
      <c r="D127" s="64" t="s">
        <v>7</v>
      </c>
      <c r="E127" s="64" t="s">
        <v>28</v>
      </c>
      <c r="F127" s="71" t="n">
        <f aca="false">Menu!E73</f>
        <v>7</v>
      </c>
      <c r="G127" s="64" t="s">
        <v>15</v>
      </c>
      <c r="H127" s="66" t="n">
        <f aca="false">F127/INDEX(Valeurs!$B$2:$B$40,MATCH(E127,Valeurs!$A$2:$A$40,0))*INDEX(Valeurs!$D$2:$D$40,MATCH(E127,Valeurs!$A$2:$A$40,0))</f>
        <v>63</v>
      </c>
      <c r="I127" s="72" t="n">
        <f aca="false">F127/INDEX(Valeurs!$B$2:$B$40,MATCH(E127,Valeurs!$A$2:$A$40,0))*INDEX(Valeurs!$E$2:$E$40,MATCH(E127,Valeurs!$A$2:$A$40,0))</f>
        <v>0</v>
      </c>
      <c r="J127" s="64" t="n">
        <v>1</v>
      </c>
    </row>
    <row r="128" customFormat="false" ht="15" hidden="false" customHeight="false" outlineLevel="0" collapsed="false">
      <c r="A128" s="70" t="n">
        <v>46298</v>
      </c>
      <c r="B128" s="64" t="s">
        <v>36</v>
      </c>
      <c r="C128" s="64" t="s">
        <v>47</v>
      </c>
      <c r="D128" s="64" t="s">
        <v>6</v>
      </c>
      <c r="E128" s="64" t="s">
        <v>47</v>
      </c>
      <c r="F128" s="71" t="n">
        <f aca="false">Menu!D74</f>
        <v>110</v>
      </c>
      <c r="G128" s="64" t="s">
        <v>15</v>
      </c>
      <c r="H128" s="66" t="n">
        <f aca="false">F128/INDEX(Valeurs!$B$2:$B$40,MATCH(E128,Valeurs!$A$2:$A$40,0))*INDEX(Valeurs!$D$2:$D$40,MATCH(E128,Valeurs!$A$2:$A$40,0))</f>
        <v>55</v>
      </c>
      <c r="I128" s="72" t="n">
        <f aca="false">F128/INDEX(Valeurs!$B$2:$B$40,MATCH(E128,Valeurs!$A$2:$A$40,0))*INDEX(Valeurs!$E$2:$E$40,MATCH(E128,Valeurs!$A$2:$A$40,0))</f>
        <v>0.55</v>
      </c>
      <c r="J128" s="64" t="n">
        <v>1</v>
      </c>
    </row>
    <row r="129" customFormat="false" ht="15" hidden="false" customHeight="false" outlineLevel="0" collapsed="false">
      <c r="A129" s="70" t="n">
        <v>46298</v>
      </c>
      <c r="B129" s="64" t="s">
        <v>36</v>
      </c>
      <c r="C129" s="64" t="s">
        <v>47</v>
      </c>
      <c r="D129" s="64" t="s">
        <v>7</v>
      </c>
      <c r="E129" s="64" t="s">
        <v>47</v>
      </c>
      <c r="F129" s="71" t="n">
        <f aca="false">Menu!E74</f>
        <v>90</v>
      </c>
      <c r="G129" s="64" t="s">
        <v>15</v>
      </c>
      <c r="H129" s="66" t="n">
        <f aca="false">F129/INDEX(Valeurs!$B$2:$B$40,MATCH(E129,Valeurs!$A$2:$A$40,0))*INDEX(Valeurs!$D$2:$D$40,MATCH(E129,Valeurs!$A$2:$A$40,0))</f>
        <v>45</v>
      </c>
      <c r="I129" s="72" t="n">
        <f aca="false">F129/INDEX(Valeurs!$B$2:$B$40,MATCH(E129,Valeurs!$A$2:$A$40,0))*INDEX(Valeurs!$E$2:$E$40,MATCH(E129,Valeurs!$A$2:$A$40,0))</f>
        <v>0.45</v>
      </c>
      <c r="J129" s="64" t="n">
        <v>1</v>
      </c>
    </row>
    <row r="130" customFormat="false" ht="15" hidden="false" customHeight="false" outlineLevel="0" collapsed="false">
      <c r="A130" s="70" t="n">
        <v>46299</v>
      </c>
      <c r="B130" s="64" t="s">
        <v>10</v>
      </c>
      <c r="C130" s="64" t="s">
        <v>11</v>
      </c>
      <c r="D130" s="64" t="s">
        <v>6</v>
      </c>
      <c r="E130" s="64" t="s">
        <v>12</v>
      </c>
      <c r="F130" s="71" t="n">
        <f aca="false">Menu!D77</f>
        <v>250</v>
      </c>
      <c r="G130" s="64" t="s">
        <v>13</v>
      </c>
      <c r="H130" s="66" t="n">
        <f aca="false">F130/INDEX(Valeurs!$B$2:$B$40,MATCH(E130,Valeurs!$A$2:$A$40,0))*INDEX(Valeurs!$D$2:$D$40,MATCH(E130,Valeurs!$A$2:$A$40,0))</f>
        <v>115</v>
      </c>
      <c r="I130" s="72" t="n">
        <f aca="false">F130/INDEX(Valeurs!$B$2:$B$40,MATCH(E130,Valeurs!$A$2:$A$40,0))*INDEX(Valeurs!$E$2:$E$40,MATCH(E130,Valeurs!$A$2:$A$40,0))</f>
        <v>8.25</v>
      </c>
      <c r="J130" s="64" t="n">
        <v>1</v>
      </c>
    </row>
    <row r="131" customFormat="false" ht="15" hidden="false" customHeight="false" outlineLevel="0" collapsed="false">
      <c r="A131" s="70" t="n">
        <v>46299</v>
      </c>
      <c r="B131" s="64" t="s">
        <v>10</v>
      </c>
      <c r="C131" s="64" t="s">
        <v>11</v>
      </c>
      <c r="D131" s="64" t="s">
        <v>7</v>
      </c>
      <c r="E131" s="64" t="s">
        <v>12</v>
      </c>
      <c r="F131" s="71" t="n">
        <f aca="false">Menu!E77</f>
        <v>0</v>
      </c>
      <c r="G131" s="64" t="s">
        <v>13</v>
      </c>
      <c r="H131" s="66" t="n">
        <f aca="false">F131/INDEX(Valeurs!$B$2:$B$40,MATCH(E131,Valeurs!$A$2:$A$40,0))*INDEX(Valeurs!$D$2:$D$40,MATCH(E131,Valeurs!$A$2:$A$40,0))</f>
        <v>0</v>
      </c>
      <c r="I131" s="72" t="n">
        <f aca="false">F131/INDEX(Valeurs!$B$2:$B$40,MATCH(E131,Valeurs!$A$2:$A$40,0))*INDEX(Valeurs!$E$2:$E$40,MATCH(E131,Valeurs!$A$2:$A$40,0))</f>
        <v>0</v>
      </c>
      <c r="J131" s="64" t="n">
        <v>1</v>
      </c>
    </row>
    <row r="132" customFormat="false" ht="15" hidden="false" customHeight="false" outlineLevel="0" collapsed="false">
      <c r="A132" s="70" t="n">
        <v>46299</v>
      </c>
      <c r="B132" s="64" t="s">
        <v>10</v>
      </c>
      <c r="C132" s="64" t="s">
        <v>11</v>
      </c>
      <c r="D132" s="64" t="s">
        <v>6</v>
      </c>
      <c r="E132" s="64" t="s">
        <v>14</v>
      </c>
      <c r="F132" s="71" t="n">
        <f aca="false">Menu!D78</f>
        <v>100</v>
      </c>
      <c r="G132" s="64" t="s">
        <v>15</v>
      </c>
      <c r="H132" s="66" t="n">
        <f aca="false">F132/INDEX(Valeurs!$B$2:$B$40,MATCH(E132,Valeurs!$A$2:$A$40,0))*INDEX(Valeurs!$D$2:$D$40,MATCH(E132,Valeurs!$A$2:$A$40,0))</f>
        <v>90</v>
      </c>
      <c r="I132" s="72" t="n">
        <f aca="false">F132/INDEX(Valeurs!$B$2:$B$40,MATCH(E132,Valeurs!$A$2:$A$40,0))*INDEX(Valeurs!$E$2:$E$40,MATCH(E132,Valeurs!$A$2:$A$40,0))</f>
        <v>1.1</v>
      </c>
      <c r="J132" s="64" t="n">
        <v>1</v>
      </c>
    </row>
    <row r="133" customFormat="false" ht="15" hidden="false" customHeight="false" outlineLevel="0" collapsed="false">
      <c r="A133" s="70" t="n">
        <v>46299</v>
      </c>
      <c r="B133" s="64" t="s">
        <v>10</v>
      </c>
      <c r="C133" s="64" t="s">
        <v>11</v>
      </c>
      <c r="D133" s="64" t="s">
        <v>7</v>
      </c>
      <c r="E133" s="64" t="s">
        <v>14</v>
      </c>
      <c r="F133" s="71" t="n">
        <f aca="false">Menu!E78</f>
        <v>0</v>
      </c>
      <c r="G133" s="64" t="s">
        <v>15</v>
      </c>
      <c r="H133" s="66" t="n">
        <f aca="false">F133/INDEX(Valeurs!$B$2:$B$40,MATCH(E133,Valeurs!$A$2:$A$40,0))*INDEX(Valeurs!$D$2:$D$40,MATCH(E133,Valeurs!$A$2:$A$40,0))</f>
        <v>0</v>
      </c>
      <c r="I133" s="72" t="n">
        <f aca="false">F133/INDEX(Valeurs!$B$2:$B$40,MATCH(E133,Valeurs!$A$2:$A$40,0))*INDEX(Valeurs!$E$2:$E$40,MATCH(E133,Valeurs!$A$2:$A$40,0))</f>
        <v>0</v>
      </c>
      <c r="J133" s="64" t="n">
        <v>1</v>
      </c>
    </row>
    <row r="134" customFormat="false" ht="15" hidden="false" customHeight="false" outlineLevel="0" collapsed="false">
      <c r="A134" s="70" t="n">
        <v>46299</v>
      </c>
      <c r="B134" s="64" t="s">
        <v>10</v>
      </c>
      <c r="C134" s="64" t="s">
        <v>11</v>
      </c>
      <c r="D134" s="64" t="s">
        <v>6</v>
      </c>
      <c r="E134" s="64" t="s">
        <v>16</v>
      </c>
      <c r="F134" s="71" t="n">
        <f aca="false">Menu!D79</f>
        <v>65</v>
      </c>
      <c r="G134" s="64" t="s">
        <v>15</v>
      </c>
      <c r="H134" s="66" t="n">
        <f aca="false">F134/INDEX(Valeurs!$B$2:$B$40,MATCH(E134,Valeurs!$A$2:$A$40,0))*INDEX(Valeurs!$D$2:$D$40,MATCH(E134,Valeurs!$A$2:$A$40,0))</f>
        <v>241.8</v>
      </c>
      <c r="I134" s="72" t="n">
        <f aca="false">F134/INDEX(Valeurs!$B$2:$B$40,MATCH(E134,Valeurs!$A$2:$A$40,0))*INDEX(Valeurs!$E$2:$E$40,MATCH(E134,Valeurs!$A$2:$A$40,0))</f>
        <v>8.775</v>
      </c>
      <c r="J134" s="64" t="n">
        <v>1</v>
      </c>
    </row>
    <row r="135" customFormat="false" ht="15" hidden="false" customHeight="false" outlineLevel="0" collapsed="false">
      <c r="A135" s="70" t="n">
        <v>46299</v>
      </c>
      <c r="B135" s="64" t="s">
        <v>10</v>
      </c>
      <c r="C135" s="64" t="s">
        <v>11</v>
      </c>
      <c r="D135" s="64" t="s">
        <v>7</v>
      </c>
      <c r="E135" s="64" t="s">
        <v>16</v>
      </c>
      <c r="F135" s="71" t="n">
        <f aca="false">Menu!E79</f>
        <v>0</v>
      </c>
      <c r="G135" s="64" t="s">
        <v>15</v>
      </c>
      <c r="H135" s="66" t="n">
        <f aca="false">F135/INDEX(Valeurs!$B$2:$B$40,MATCH(E135,Valeurs!$A$2:$A$40,0))*INDEX(Valeurs!$D$2:$D$40,MATCH(E135,Valeurs!$A$2:$A$40,0))</f>
        <v>0</v>
      </c>
      <c r="I135" s="72" t="n">
        <f aca="false">F135/INDEX(Valeurs!$B$2:$B$40,MATCH(E135,Valeurs!$A$2:$A$40,0))*INDEX(Valeurs!$E$2:$E$40,MATCH(E135,Valeurs!$A$2:$A$40,0))</f>
        <v>0</v>
      </c>
      <c r="J135" s="64" t="n">
        <v>1</v>
      </c>
    </row>
    <row r="136" customFormat="false" ht="15" hidden="false" customHeight="false" outlineLevel="0" collapsed="false">
      <c r="A136" s="70" t="n">
        <v>46299</v>
      </c>
      <c r="B136" s="64" t="s">
        <v>10</v>
      </c>
      <c r="C136" s="64" t="s">
        <v>11</v>
      </c>
      <c r="D136" s="64" t="s">
        <v>6</v>
      </c>
      <c r="E136" s="64" t="s">
        <v>17</v>
      </c>
      <c r="F136" s="71" t="n">
        <f aca="false">Menu!D80</f>
        <v>1</v>
      </c>
      <c r="G136" s="64" t="s">
        <v>171</v>
      </c>
      <c r="H136" s="66" t="n">
        <f aca="false">F136/INDEX(Valeurs!$B$2:$B$40,MATCH(E136,Valeurs!$A$2:$A$40,0))*INDEX(Valeurs!$D$2:$D$40,MATCH(E136,Valeurs!$A$2:$A$40,0))</f>
        <v>87</v>
      </c>
      <c r="I136" s="72" t="n">
        <f aca="false">F136/INDEX(Valeurs!$B$2:$B$40,MATCH(E136,Valeurs!$A$2:$A$40,0))*INDEX(Valeurs!$E$2:$E$40,MATCH(E136,Valeurs!$A$2:$A$40,0))</f>
        <v>7.5</v>
      </c>
      <c r="J136" s="64" t="n">
        <v>1</v>
      </c>
    </row>
    <row r="137" customFormat="false" ht="15" hidden="false" customHeight="false" outlineLevel="0" collapsed="false">
      <c r="A137" s="70" t="n">
        <v>46299</v>
      </c>
      <c r="B137" s="64" t="s">
        <v>10</v>
      </c>
      <c r="C137" s="64" t="s">
        <v>11</v>
      </c>
      <c r="D137" s="64" t="s">
        <v>7</v>
      </c>
      <c r="E137" s="64" t="s">
        <v>17</v>
      </c>
      <c r="F137" s="71" t="n">
        <f aca="false">Menu!E80</f>
        <v>2</v>
      </c>
      <c r="G137" s="64" t="s">
        <v>171</v>
      </c>
      <c r="H137" s="66" t="n">
        <f aca="false">F137/INDEX(Valeurs!$B$2:$B$40,MATCH(E137,Valeurs!$A$2:$A$40,0))*INDEX(Valeurs!$D$2:$D$40,MATCH(E137,Valeurs!$A$2:$A$40,0))</f>
        <v>174</v>
      </c>
      <c r="I137" s="72" t="n">
        <f aca="false">F137/INDEX(Valeurs!$B$2:$B$40,MATCH(E137,Valeurs!$A$2:$A$40,0))*INDEX(Valeurs!$E$2:$E$40,MATCH(E137,Valeurs!$A$2:$A$40,0))</f>
        <v>15</v>
      </c>
      <c r="J137" s="64" t="n">
        <v>1</v>
      </c>
    </row>
    <row r="138" customFormat="false" ht="15" hidden="false" customHeight="false" outlineLevel="0" collapsed="false">
      <c r="A138" s="70" t="n">
        <v>46299</v>
      </c>
      <c r="B138" s="64" t="s">
        <v>10</v>
      </c>
      <c r="C138" s="64" t="s">
        <v>11</v>
      </c>
      <c r="D138" s="64" t="s">
        <v>6</v>
      </c>
      <c r="E138" s="64" t="s">
        <v>19</v>
      </c>
      <c r="F138" s="71" t="n">
        <f aca="false">Menu!D81</f>
        <v>0</v>
      </c>
      <c r="G138" s="64" t="s">
        <v>15</v>
      </c>
      <c r="H138" s="66" t="n">
        <f aca="false">F138/INDEX(Valeurs!$B$2:$B$40,MATCH(E138,Valeurs!$A$2:$A$40,0))*INDEX(Valeurs!$D$2:$D$40,MATCH(E138,Valeurs!$A$2:$A$40,0))</f>
        <v>0</v>
      </c>
      <c r="I138" s="72" t="n">
        <f aca="false">F138/INDEX(Valeurs!$B$2:$B$40,MATCH(E138,Valeurs!$A$2:$A$40,0))*INDEX(Valeurs!$E$2:$E$40,MATCH(E138,Valeurs!$A$2:$A$40,0))</f>
        <v>0</v>
      </c>
      <c r="J138" s="64" t="n">
        <v>1</v>
      </c>
    </row>
    <row r="139" customFormat="false" ht="15" hidden="false" customHeight="false" outlineLevel="0" collapsed="false">
      <c r="A139" s="70" t="n">
        <v>46299</v>
      </c>
      <c r="B139" s="64" t="s">
        <v>10</v>
      </c>
      <c r="C139" s="64" t="s">
        <v>11</v>
      </c>
      <c r="D139" s="64" t="s">
        <v>7</v>
      </c>
      <c r="E139" s="64" t="s">
        <v>19</v>
      </c>
      <c r="F139" s="71" t="n">
        <f aca="false">Menu!E81</f>
        <v>30</v>
      </c>
      <c r="G139" s="64" t="s">
        <v>15</v>
      </c>
      <c r="H139" s="66" t="n">
        <f aca="false">F139/INDEX(Valeurs!$B$2:$B$40,MATCH(E139,Valeurs!$A$2:$A$40,0))*INDEX(Valeurs!$D$2:$D$40,MATCH(E139,Valeurs!$A$2:$A$40,0))</f>
        <v>33</v>
      </c>
      <c r="I139" s="72" t="n">
        <f aca="false">F139/INDEX(Valeurs!$B$2:$B$40,MATCH(E139,Valeurs!$A$2:$A$40,0))*INDEX(Valeurs!$E$2:$E$40,MATCH(E139,Valeurs!$A$2:$A$40,0))</f>
        <v>6</v>
      </c>
      <c r="J139" s="64" t="n">
        <v>1</v>
      </c>
    </row>
    <row r="140" customFormat="false" ht="15" hidden="false" customHeight="false" outlineLevel="0" collapsed="false">
      <c r="A140" s="70" t="n">
        <v>46299</v>
      </c>
      <c r="B140" s="64" t="s">
        <v>10</v>
      </c>
      <c r="C140" s="64" t="s">
        <v>11</v>
      </c>
      <c r="D140" s="64" t="s">
        <v>6</v>
      </c>
      <c r="E140" s="64" t="s">
        <v>20</v>
      </c>
      <c r="F140" s="71" t="n">
        <f aca="false">Menu!D82</f>
        <v>0</v>
      </c>
      <c r="G140" s="64" t="s">
        <v>15</v>
      </c>
      <c r="H140" s="66" t="n">
        <f aca="false">F140/INDEX(Valeurs!$B$2:$B$40,MATCH(E140,Valeurs!$A$2:$A$40,0))*INDEX(Valeurs!$D$2:$D$40,MATCH(E140,Valeurs!$A$2:$A$40,0))</f>
        <v>0</v>
      </c>
      <c r="I140" s="72" t="n">
        <f aca="false">F140/INDEX(Valeurs!$B$2:$B$40,MATCH(E140,Valeurs!$A$2:$A$40,0))*INDEX(Valeurs!$E$2:$E$40,MATCH(E140,Valeurs!$A$2:$A$40,0))</f>
        <v>0</v>
      </c>
      <c r="J140" s="64" t="n">
        <v>1</v>
      </c>
    </row>
    <row r="141" customFormat="false" ht="15" hidden="false" customHeight="false" outlineLevel="0" collapsed="false">
      <c r="A141" s="70" t="n">
        <v>46299</v>
      </c>
      <c r="B141" s="64" t="s">
        <v>10</v>
      </c>
      <c r="C141" s="64" t="s">
        <v>11</v>
      </c>
      <c r="D141" s="64" t="s">
        <v>7</v>
      </c>
      <c r="E141" s="64" t="s">
        <v>20</v>
      </c>
      <c r="F141" s="71" t="n">
        <f aca="false">Menu!E82</f>
        <v>80</v>
      </c>
      <c r="G141" s="64" t="s">
        <v>15</v>
      </c>
      <c r="H141" s="66" t="n">
        <f aca="false">F141/INDEX(Valeurs!$B$2:$B$40,MATCH(E141,Valeurs!$A$2:$A$40,0))*INDEX(Valeurs!$D$2:$D$40,MATCH(E141,Valeurs!$A$2:$A$40,0))</f>
        <v>14.4</v>
      </c>
      <c r="I141" s="72" t="n">
        <f aca="false">F141/INDEX(Valeurs!$B$2:$B$40,MATCH(E141,Valeurs!$A$2:$A$40,0))*INDEX(Valeurs!$E$2:$E$40,MATCH(E141,Valeurs!$A$2:$A$40,0))</f>
        <v>0.72</v>
      </c>
      <c r="J141" s="64" t="n">
        <v>1</v>
      </c>
    </row>
    <row r="142" customFormat="false" ht="15" hidden="false" customHeight="false" outlineLevel="0" collapsed="false">
      <c r="A142" s="70" t="n">
        <v>46299</v>
      </c>
      <c r="B142" s="64" t="s">
        <v>10</v>
      </c>
      <c r="C142" s="64" t="s">
        <v>11</v>
      </c>
      <c r="D142" s="64" t="s">
        <v>6</v>
      </c>
      <c r="E142" s="64" t="s">
        <v>21</v>
      </c>
      <c r="F142" s="71" t="n">
        <f aca="false">Menu!D83</f>
        <v>0</v>
      </c>
      <c r="G142" s="64" t="s">
        <v>15</v>
      </c>
      <c r="H142" s="66" t="n">
        <f aca="false">F142/INDEX(Valeurs!$B$2:$B$40,MATCH(E142,Valeurs!$A$2:$A$40,0))*INDEX(Valeurs!$D$2:$D$40,MATCH(E142,Valeurs!$A$2:$A$40,0))</f>
        <v>0</v>
      </c>
      <c r="I142" s="72" t="n">
        <f aca="false">F142/INDEX(Valeurs!$B$2:$B$40,MATCH(E142,Valeurs!$A$2:$A$40,0))*INDEX(Valeurs!$E$2:$E$40,MATCH(E142,Valeurs!$A$2:$A$40,0))</f>
        <v>0</v>
      </c>
      <c r="J142" s="64" t="n">
        <v>1</v>
      </c>
    </row>
    <row r="143" customFormat="false" ht="15" hidden="false" customHeight="false" outlineLevel="0" collapsed="false">
      <c r="A143" s="70" t="n">
        <v>46299</v>
      </c>
      <c r="B143" s="64" t="s">
        <v>10</v>
      </c>
      <c r="C143" s="64" t="s">
        <v>11</v>
      </c>
      <c r="D143" s="64" t="s">
        <v>7</v>
      </c>
      <c r="E143" s="64" t="s">
        <v>21</v>
      </c>
      <c r="F143" s="71" t="n">
        <f aca="false">Menu!E83</f>
        <v>40</v>
      </c>
      <c r="G143" s="64" t="s">
        <v>15</v>
      </c>
      <c r="H143" s="66" t="n">
        <f aca="false">F143/INDEX(Valeurs!$B$2:$B$40,MATCH(E143,Valeurs!$A$2:$A$40,0))*INDEX(Valeurs!$D$2:$D$40,MATCH(E143,Valeurs!$A$2:$A$40,0))</f>
        <v>96</v>
      </c>
      <c r="I143" s="72" t="n">
        <f aca="false">F143/INDEX(Valeurs!$B$2:$B$40,MATCH(E143,Valeurs!$A$2:$A$40,0))*INDEX(Valeurs!$E$2:$E$40,MATCH(E143,Valeurs!$A$2:$A$40,0))</f>
        <v>3.6</v>
      </c>
      <c r="J143" s="64" t="n">
        <v>1</v>
      </c>
    </row>
    <row r="144" customFormat="false" ht="15" hidden="false" customHeight="false" outlineLevel="0" collapsed="false">
      <c r="A144" s="70" t="n">
        <v>46299</v>
      </c>
      <c r="B144" s="64" t="s">
        <v>10</v>
      </c>
      <c r="C144" s="64" t="s">
        <v>11</v>
      </c>
      <c r="D144" s="64" t="s">
        <v>6</v>
      </c>
      <c r="E144" s="64" t="s">
        <v>22</v>
      </c>
      <c r="F144" s="71" t="n">
        <f aca="false">Menu!D84</f>
        <v>0</v>
      </c>
      <c r="G144" s="64" t="s">
        <v>15</v>
      </c>
      <c r="H144" s="66" t="n">
        <f aca="false">F144/INDEX(Valeurs!$B$2:$B$40,MATCH(E144,Valeurs!$A$2:$A$40,0))*INDEX(Valeurs!$D$2:$D$40,MATCH(E144,Valeurs!$A$2:$A$40,0))</f>
        <v>0</v>
      </c>
      <c r="I144" s="72" t="n">
        <f aca="false">F144/INDEX(Valeurs!$B$2:$B$40,MATCH(E144,Valeurs!$A$2:$A$40,0))*INDEX(Valeurs!$E$2:$E$40,MATCH(E144,Valeurs!$A$2:$A$40,0))</f>
        <v>0</v>
      </c>
      <c r="J144" s="64" t="n">
        <v>1</v>
      </c>
    </row>
    <row r="145" customFormat="false" ht="15" hidden="false" customHeight="false" outlineLevel="0" collapsed="false">
      <c r="A145" s="70" t="n">
        <v>46299</v>
      </c>
      <c r="B145" s="64" t="s">
        <v>10</v>
      </c>
      <c r="C145" s="64" t="s">
        <v>11</v>
      </c>
      <c r="D145" s="64" t="s">
        <v>7</v>
      </c>
      <c r="E145" s="64" t="s">
        <v>22</v>
      </c>
      <c r="F145" s="71" t="n">
        <f aca="false">Menu!E84</f>
        <v>150</v>
      </c>
      <c r="G145" s="64" t="s">
        <v>15</v>
      </c>
      <c r="H145" s="66" t="n">
        <f aca="false">F145/INDEX(Valeurs!$B$2:$B$40,MATCH(E145,Valeurs!$A$2:$A$40,0))*INDEX(Valeurs!$D$2:$D$40,MATCH(E145,Valeurs!$A$2:$A$40,0))</f>
        <v>78</v>
      </c>
      <c r="I145" s="72" t="n">
        <f aca="false">F145/INDEX(Valeurs!$B$2:$B$40,MATCH(E145,Valeurs!$A$2:$A$40,0))*INDEX(Valeurs!$E$2:$E$40,MATCH(E145,Valeurs!$A$2:$A$40,0))</f>
        <v>0.45</v>
      </c>
      <c r="J145" s="64" t="n">
        <v>1</v>
      </c>
    </row>
    <row r="146" customFormat="false" ht="15" hidden="false" customHeight="false" outlineLevel="0" collapsed="false">
      <c r="A146" s="70" t="n">
        <v>46299</v>
      </c>
      <c r="B146" s="64" t="s">
        <v>23</v>
      </c>
      <c r="C146" s="64" t="s">
        <v>53</v>
      </c>
      <c r="D146" s="64" t="s">
        <v>6</v>
      </c>
      <c r="E146" s="64" t="s">
        <v>51</v>
      </c>
      <c r="F146" s="71" t="n">
        <f aca="false">Menu!D85</f>
        <v>150</v>
      </c>
      <c r="G146" s="64" t="s">
        <v>15</v>
      </c>
      <c r="H146" s="66" t="n">
        <f aca="false">F146/INDEX(Valeurs!$B$2:$B$40,MATCH(E146,Valeurs!$A$2:$A$40,0))*INDEX(Valeurs!$D$2:$D$40,MATCH(E146,Valeurs!$A$2:$A$40,0))</f>
        <v>210</v>
      </c>
      <c r="I146" s="72" t="n">
        <f aca="false">F146/INDEX(Valeurs!$B$2:$B$40,MATCH(E146,Valeurs!$A$2:$A$40,0))*INDEX(Valeurs!$E$2:$E$40,MATCH(E146,Valeurs!$A$2:$A$40,0))</f>
        <v>31.5</v>
      </c>
      <c r="J146" s="64" t="n">
        <v>1</v>
      </c>
    </row>
    <row r="147" customFormat="false" ht="15" hidden="false" customHeight="false" outlineLevel="0" collapsed="false">
      <c r="A147" s="70" t="n">
        <v>46299</v>
      </c>
      <c r="B147" s="64" t="s">
        <v>23</v>
      </c>
      <c r="C147" s="64" t="s">
        <v>53</v>
      </c>
      <c r="D147" s="64" t="s">
        <v>7</v>
      </c>
      <c r="E147" s="64" t="s">
        <v>51</v>
      </c>
      <c r="F147" s="71" t="n">
        <f aca="false">Menu!E85</f>
        <v>120</v>
      </c>
      <c r="G147" s="64" t="s">
        <v>15</v>
      </c>
      <c r="H147" s="66" t="n">
        <f aca="false">F147/INDEX(Valeurs!$B$2:$B$40,MATCH(E147,Valeurs!$A$2:$A$40,0))*INDEX(Valeurs!$D$2:$D$40,MATCH(E147,Valeurs!$A$2:$A$40,0))</f>
        <v>168</v>
      </c>
      <c r="I147" s="72" t="n">
        <f aca="false">F147/INDEX(Valeurs!$B$2:$B$40,MATCH(E147,Valeurs!$A$2:$A$40,0))*INDEX(Valeurs!$E$2:$E$40,MATCH(E147,Valeurs!$A$2:$A$40,0))</f>
        <v>25.2</v>
      </c>
      <c r="J147" s="64" t="n">
        <v>1</v>
      </c>
    </row>
    <row r="148" customFormat="false" ht="15" hidden="false" customHeight="false" outlineLevel="0" collapsed="false">
      <c r="A148" s="70" t="n">
        <v>46299</v>
      </c>
      <c r="B148" s="64" t="s">
        <v>23</v>
      </c>
      <c r="C148" s="64" t="s">
        <v>53</v>
      </c>
      <c r="D148" s="64" t="s">
        <v>6</v>
      </c>
      <c r="E148" s="64" t="s">
        <v>54</v>
      </c>
      <c r="F148" s="71" t="n">
        <f aca="false">Menu!D86</f>
        <v>1</v>
      </c>
      <c r="G148" s="64" t="s">
        <v>171</v>
      </c>
      <c r="H148" s="66" t="n">
        <f aca="false">F148/INDEX(Valeurs!$B$2:$B$40,MATCH(E148,Valeurs!$A$2:$A$40,0))*INDEX(Valeurs!$D$2:$D$40,MATCH(E148,Valeurs!$A$2:$A$40,0))</f>
        <v>200</v>
      </c>
      <c r="I148" s="72" t="n">
        <f aca="false">F148/INDEX(Valeurs!$B$2:$B$40,MATCH(E148,Valeurs!$A$2:$A$40,0))*INDEX(Valeurs!$E$2:$E$40,MATCH(E148,Valeurs!$A$2:$A$40,0))</f>
        <v>7</v>
      </c>
      <c r="J148" s="64" t="n">
        <v>1</v>
      </c>
    </row>
    <row r="149" customFormat="false" ht="15" hidden="false" customHeight="false" outlineLevel="0" collapsed="false">
      <c r="A149" s="70" t="n">
        <v>46299</v>
      </c>
      <c r="B149" s="64" t="s">
        <v>23</v>
      </c>
      <c r="C149" s="64" t="s">
        <v>53</v>
      </c>
      <c r="D149" s="64" t="s">
        <v>7</v>
      </c>
      <c r="E149" s="64" t="s">
        <v>54</v>
      </c>
      <c r="F149" s="71" t="n">
        <f aca="false">Menu!E86</f>
        <v>1</v>
      </c>
      <c r="G149" s="64" t="s">
        <v>171</v>
      </c>
      <c r="H149" s="66" t="n">
        <f aca="false">F149/INDEX(Valeurs!$B$2:$B$40,MATCH(E149,Valeurs!$A$2:$A$40,0))*INDEX(Valeurs!$D$2:$D$40,MATCH(E149,Valeurs!$A$2:$A$40,0))</f>
        <v>200</v>
      </c>
      <c r="I149" s="72" t="n">
        <f aca="false">F149/INDEX(Valeurs!$B$2:$B$40,MATCH(E149,Valeurs!$A$2:$A$40,0))*INDEX(Valeurs!$E$2:$E$40,MATCH(E149,Valeurs!$A$2:$A$40,0))</f>
        <v>7</v>
      </c>
      <c r="J149" s="64" t="n">
        <v>1</v>
      </c>
    </row>
    <row r="150" customFormat="false" ht="15" hidden="false" customHeight="false" outlineLevel="0" collapsed="false">
      <c r="A150" s="70" t="n">
        <v>46299</v>
      </c>
      <c r="B150" s="64" t="s">
        <v>23</v>
      </c>
      <c r="C150" s="64" t="s">
        <v>53</v>
      </c>
      <c r="D150" s="64" t="s">
        <v>6</v>
      </c>
      <c r="E150" s="64" t="s">
        <v>55</v>
      </c>
      <c r="F150" s="71" t="n">
        <f aca="false">Menu!D87</f>
        <v>20</v>
      </c>
      <c r="G150" s="64" t="s">
        <v>15</v>
      </c>
      <c r="H150" s="66" t="n">
        <f aca="false">F150/INDEX(Valeurs!$B$2:$B$40,MATCH(E150,Valeurs!$A$2:$A$40,0))*INDEX(Valeurs!$D$2:$D$40,MATCH(E150,Valeurs!$A$2:$A$40,0))</f>
        <v>82</v>
      </c>
      <c r="I150" s="72" t="n">
        <f aca="false">F150/INDEX(Valeurs!$B$2:$B$40,MATCH(E150,Valeurs!$A$2:$A$40,0))*INDEX(Valeurs!$E$2:$E$40,MATCH(E150,Valeurs!$A$2:$A$40,0))</f>
        <v>5</v>
      </c>
      <c r="J150" s="64" t="n">
        <v>1</v>
      </c>
    </row>
    <row r="151" customFormat="false" ht="15" hidden="false" customHeight="false" outlineLevel="0" collapsed="false">
      <c r="A151" s="70" t="n">
        <v>46299</v>
      </c>
      <c r="B151" s="64" t="s">
        <v>23</v>
      </c>
      <c r="C151" s="64" t="s">
        <v>53</v>
      </c>
      <c r="D151" s="64" t="s">
        <v>7</v>
      </c>
      <c r="E151" s="64" t="s">
        <v>55</v>
      </c>
      <c r="F151" s="71" t="n">
        <f aca="false">Menu!E87</f>
        <v>15</v>
      </c>
      <c r="G151" s="64" t="s">
        <v>15</v>
      </c>
      <c r="H151" s="66" t="n">
        <f aca="false">F151/INDEX(Valeurs!$B$2:$B$40,MATCH(E151,Valeurs!$A$2:$A$40,0))*INDEX(Valeurs!$D$2:$D$40,MATCH(E151,Valeurs!$A$2:$A$40,0))</f>
        <v>61.5</v>
      </c>
      <c r="I151" s="72" t="n">
        <f aca="false">F151/INDEX(Valeurs!$B$2:$B$40,MATCH(E151,Valeurs!$A$2:$A$40,0))*INDEX(Valeurs!$E$2:$E$40,MATCH(E151,Valeurs!$A$2:$A$40,0))</f>
        <v>3.75</v>
      </c>
      <c r="J151" s="64" t="n">
        <v>1</v>
      </c>
    </row>
    <row r="152" customFormat="false" ht="15" hidden="false" customHeight="false" outlineLevel="0" collapsed="false">
      <c r="A152" s="70" t="n">
        <v>46299</v>
      </c>
      <c r="B152" s="64" t="s">
        <v>23</v>
      </c>
      <c r="C152" s="64" t="s">
        <v>53</v>
      </c>
      <c r="D152" s="64" t="s">
        <v>6</v>
      </c>
      <c r="E152" s="64" t="s">
        <v>20</v>
      </c>
      <c r="F152" s="71" t="n">
        <f aca="false">Menu!D88</f>
        <v>60</v>
      </c>
      <c r="G152" s="64" t="s">
        <v>15</v>
      </c>
      <c r="H152" s="66" t="n">
        <f aca="false">F152/INDEX(Valeurs!$B$2:$B$40,MATCH(E152,Valeurs!$A$2:$A$40,0))*INDEX(Valeurs!$D$2:$D$40,MATCH(E152,Valeurs!$A$2:$A$40,0))</f>
        <v>10.8</v>
      </c>
      <c r="I152" s="72" t="n">
        <f aca="false">F152/INDEX(Valeurs!$B$2:$B$40,MATCH(E152,Valeurs!$A$2:$A$40,0))*INDEX(Valeurs!$E$2:$E$40,MATCH(E152,Valeurs!$A$2:$A$40,0))</f>
        <v>0.54</v>
      </c>
      <c r="J152" s="64" t="n">
        <v>1</v>
      </c>
    </row>
    <row r="153" customFormat="false" ht="15" hidden="false" customHeight="false" outlineLevel="0" collapsed="false">
      <c r="A153" s="70" t="n">
        <v>46299</v>
      </c>
      <c r="B153" s="64" t="s">
        <v>23</v>
      </c>
      <c r="C153" s="64" t="s">
        <v>53</v>
      </c>
      <c r="D153" s="64" t="s">
        <v>7</v>
      </c>
      <c r="E153" s="64" t="s">
        <v>20</v>
      </c>
      <c r="F153" s="71" t="n">
        <f aca="false">Menu!E88</f>
        <v>80</v>
      </c>
      <c r="G153" s="64" t="s">
        <v>15</v>
      </c>
      <c r="H153" s="66" t="n">
        <f aca="false">F153/INDEX(Valeurs!$B$2:$B$40,MATCH(E153,Valeurs!$A$2:$A$40,0))*INDEX(Valeurs!$D$2:$D$40,MATCH(E153,Valeurs!$A$2:$A$40,0))</f>
        <v>14.4</v>
      </c>
      <c r="I153" s="72" t="n">
        <f aca="false">F153/INDEX(Valeurs!$B$2:$B$40,MATCH(E153,Valeurs!$A$2:$A$40,0))*INDEX(Valeurs!$E$2:$E$40,MATCH(E153,Valeurs!$A$2:$A$40,0))</f>
        <v>0.72</v>
      </c>
      <c r="J153" s="64" t="n">
        <v>1</v>
      </c>
    </row>
    <row r="154" customFormat="false" ht="15" hidden="false" customHeight="false" outlineLevel="0" collapsed="false">
      <c r="A154" s="70" t="n">
        <v>46299</v>
      </c>
      <c r="B154" s="64" t="s">
        <v>23</v>
      </c>
      <c r="C154" s="64" t="s">
        <v>53</v>
      </c>
      <c r="D154" s="64" t="s">
        <v>6</v>
      </c>
      <c r="E154" s="64" t="s">
        <v>46</v>
      </c>
      <c r="F154" s="71" t="n">
        <f aca="false">Menu!D89</f>
        <v>30</v>
      </c>
      <c r="G154" s="64" t="s">
        <v>15</v>
      </c>
      <c r="H154" s="66" t="n">
        <f aca="false">F154/INDEX(Valeurs!$B$2:$B$40,MATCH(E154,Valeurs!$A$2:$A$40,0))*INDEX(Valeurs!$D$2:$D$40,MATCH(E154,Valeurs!$A$2:$A$40,0))</f>
        <v>4.5</v>
      </c>
      <c r="I154" s="72" t="n">
        <f aca="false">F154/INDEX(Valeurs!$B$2:$B$40,MATCH(E154,Valeurs!$A$2:$A$40,0))*INDEX(Valeurs!$E$2:$E$40,MATCH(E154,Valeurs!$A$2:$A$40,0))</f>
        <v>0.42</v>
      </c>
      <c r="J154" s="64" t="n">
        <v>1</v>
      </c>
    </row>
    <row r="155" customFormat="false" ht="15" hidden="false" customHeight="false" outlineLevel="0" collapsed="false">
      <c r="A155" s="70" t="n">
        <v>46299</v>
      </c>
      <c r="B155" s="64" t="s">
        <v>23</v>
      </c>
      <c r="C155" s="64" t="s">
        <v>53</v>
      </c>
      <c r="D155" s="64" t="s">
        <v>7</v>
      </c>
      <c r="E155" s="64" t="s">
        <v>46</v>
      </c>
      <c r="F155" s="71" t="n">
        <f aca="false">Menu!E89</f>
        <v>40</v>
      </c>
      <c r="G155" s="64" t="s">
        <v>15</v>
      </c>
      <c r="H155" s="66" t="n">
        <f aca="false">F155/INDEX(Valeurs!$B$2:$B$40,MATCH(E155,Valeurs!$A$2:$A$40,0))*INDEX(Valeurs!$D$2:$D$40,MATCH(E155,Valeurs!$A$2:$A$40,0))</f>
        <v>6</v>
      </c>
      <c r="I155" s="72" t="n">
        <f aca="false">F155/INDEX(Valeurs!$B$2:$B$40,MATCH(E155,Valeurs!$A$2:$A$40,0))*INDEX(Valeurs!$E$2:$E$40,MATCH(E155,Valeurs!$A$2:$A$40,0))</f>
        <v>0.56</v>
      </c>
      <c r="J155" s="64" t="n">
        <v>1</v>
      </c>
    </row>
    <row r="156" customFormat="false" ht="15" hidden="false" customHeight="false" outlineLevel="0" collapsed="false">
      <c r="A156" s="70" t="n">
        <v>46299</v>
      </c>
      <c r="B156" s="64" t="s">
        <v>23</v>
      </c>
      <c r="C156" s="64" t="s">
        <v>53</v>
      </c>
      <c r="D156" s="64" t="s">
        <v>6</v>
      </c>
      <c r="E156" s="64" t="s">
        <v>35</v>
      </c>
      <c r="F156" s="71" t="n">
        <f aca="false">Menu!D90</f>
        <v>20</v>
      </c>
      <c r="G156" s="64" t="s">
        <v>15</v>
      </c>
      <c r="H156" s="66" t="n">
        <f aca="false">F156/INDEX(Valeurs!$B$2:$B$40,MATCH(E156,Valeurs!$A$2:$A$40,0))*INDEX(Valeurs!$D$2:$D$40,MATCH(E156,Valeurs!$A$2:$A$40,0))</f>
        <v>8</v>
      </c>
      <c r="I156" s="72" t="n">
        <f aca="false">F156/INDEX(Valeurs!$B$2:$B$40,MATCH(E156,Valeurs!$A$2:$A$40,0))*INDEX(Valeurs!$E$2:$E$40,MATCH(E156,Valeurs!$A$2:$A$40,0))</f>
        <v>0.22</v>
      </c>
      <c r="J156" s="64" t="n">
        <v>1</v>
      </c>
    </row>
    <row r="157" customFormat="false" ht="15" hidden="false" customHeight="false" outlineLevel="0" collapsed="false">
      <c r="A157" s="70" t="n">
        <v>46299</v>
      </c>
      <c r="B157" s="64" t="s">
        <v>23</v>
      </c>
      <c r="C157" s="64" t="s">
        <v>53</v>
      </c>
      <c r="D157" s="64" t="s">
        <v>7</v>
      </c>
      <c r="E157" s="64" t="s">
        <v>35</v>
      </c>
      <c r="F157" s="71" t="n">
        <f aca="false">Menu!E90</f>
        <v>20</v>
      </c>
      <c r="G157" s="64" t="s">
        <v>15</v>
      </c>
      <c r="H157" s="66" t="n">
        <f aca="false">F157/INDEX(Valeurs!$B$2:$B$40,MATCH(E157,Valeurs!$A$2:$A$40,0))*INDEX(Valeurs!$D$2:$D$40,MATCH(E157,Valeurs!$A$2:$A$40,0))</f>
        <v>8</v>
      </c>
      <c r="I157" s="72" t="n">
        <f aca="false">F157/INDEX(Valeurs!$B$2:$B$40,MATCH(E157,Valeurs!$A$2:$A$40,0))*INDEX(Valeurs!$E$2:$E$40,MATCH(E157,Valeurs!$A$2:$A$40,0))</f>
        <v>0.22</v>
      </c>
      <c r="J157" s="64" t="n">
        <v>1</v>
      </c>
    </row>
    <row r="158" customFormat="false" ht="15" hidden="false" customHeight="false" outlineLevel="0" collapsed="false">
      <c r="A158" s="70" t="n">
        <v>46299</v>
      </c>
      <c r="B158" s="64" t="s">
        <v>23</v>
      </c>
      <c r="C158" s="64" t="s">
        <v>53</v>
      </c>
      <c r="D158" s="64" t="s">
        <v>6</v>
      </c>
      <c r="E158" s="64" t="s">
        <v>26</v>
      </c>
      <c r="F158" s="71" t="n">
        <f aca="false">Menu!D91</f>
        <v>300</v>
      </c>
      <c r="G158" s="64" t="s">
        <v>15</v>
      </c>
      <c r="H158" s="66" t="n">
        <f aca="false">F158/INDEX(Valeurs!$B$2:$B$40,MATCH(E158,Valeurs!$A$2:$A$40,0))*INDEX(Valeurs!$D$2:$D$40,MATCH(E158,Valeurs!$A$2:$A$40,0))</f>
        <v>240</v>
      </c>
      <c r="I158" s="72" t="n">
        <f aca="false">F158/INDEX(Valeurs!$B$2:$B$40,MATCH(E158,Valeurs!$A$2:$A$40,0))*INDEX(Valeurs!$E$2:$E$40,MATCH(E158,Valeurs!$A$2:$A$40,0))</f>
        <v>6</v>
      </c>
      <c r="J158" s="64" t="n">
        <v>1</v>
      </c>
    </row>
    <row r="159" customFormat="false" ht="15" hidden="false" customHeight="false" outlineLevel="0" collapsed="false">
      <c r="A159" s="70" t="n">
        <v>46299</v>
      </c>
      <c r="B159" s="64" t="s">
        <v>23</v>
      </c>
      <c r="C159" s="64" t="s">
        <v>53</v>
      </c>
      <c r="D159" s="64" t="s">
        <v>7</v>
      </c>
      <c r="E159" s="64" t="s">
        <v>26</v>
      </c>
      <c r="F159" s="71" t="n">
        <f aca="false">Menu!E91</f>
        <v>140</v>
      </c>
      <c r="G159" s="64" t="s">
        <v>15</v>
      </c>
      <c r="H159" s="66" t="n">
        <f aca="false">F159/INDEX(Valeurs!$B$2:$B$40,MATCH(E159,Valeurs!$A$2:$A$40,0))*INDEX(Valeurs!$D$2:$D$40,MATCH(E159,Valeurs!$A$2:$A$40,0))</f>
        <v>112</v>
      </c>
      <c r="I159" s="72" t="n">
        <f aca="false">F159/INDEX(Valeurs!$B$2:$B$40,MATCH(E159,Valeurs!$A$2:$A$40,0))*INDEX(Valeurs!$E$2:$E$40,MATCH(E159,Valeurs!$A$2:$A$40,0))</f>
        <v>2.8</v>
      </c>
      <c r="J159" s="64" t="n">
        <v>1</v>
      </c>
    </row>
    <row r="160" customFormat="false" ht="15" hidden="false" customHeight="false" outlineLevel="0" collapsed="false">
      <c r="A160" s="70" t="n">
        <v>46299</v>
      </c>
      <c r="B160" s="64" t="s">
        <v>23</v>
      </c>
      <c r="C160" s="64" t="s">
        <v>53</v>
      </c>
      <c r="D160" s="64" t="s">
        <v>6</v>
      </c>
      <c r="E160" s="64" t="s">
        <v>28</v>
      </c>
      <c r="F160" s="71" t="n">
        <f aca="false">Menu!D92</f>
        <v>8</v>
      </c>
      <c r="G160" s="64" t="s">
        <v>15</v>
      </c>
      <c r="H160" s="66" t="n">
        <f aca="false">F160/INDEX(Valeurs!$B$2:$B$40,MATCH(E160,Valeurs!$A$2:$A$40,0))*INDEX(Valeurs!$D$2:$D$40,MATCH(E160,Valeurs!$A$2:$A$40,0))</f>
        <v>72</v>
      </c>
      <c r="I160" s="72" t="n">
        <f aca="false">F160/INDEX(Valeurs!$B$2:$B$40,MATCH(E160,Valeurs!$A$2:$A$40,0))*INDEX(Valeurs!$E$2:$E$40,MATCH(E160,Valeurs!$A$2:$A$40,0))</f>
        <v>0</v>
      </c>
      <c r="J160" s="64" t="n">
        <v>1</v>
      </c>
    </row>
    <row r="161" customFormat="false" ht="15" hidden="false" customHeight="false" outlineLevel="0" collapsed="false">
      <c r="A161" s="70" t="n">
        <v>46299</v>
      </c>
      <c r="B161" s="64" t="s">
        <v>23</v>
      </c>
      <c r="C161" s="64" t="s">
        <v>53</v>
      </c>
      <c r="D161" s="64" t="s">
        <v>7</v>
      </c>
      <c r="E161" s="64" t="s">
        <v>28</v>
      </c>
      <c r="F161" s="71" t="n">
        <f aca="false">Menu!E92</f>
        <v>5</v>
      </c>
      <c r="G161" s="64" t="s">
        <v>15</v>
      </c>
      <c r="H161" s="66" t="n">
        <f aca="false">F161/INDEX(Valeurs!$B$2:$B$40,MATCH(E161,Valeurs!$A$2:$A$40,0))*INDEX(Valeurs!$D$2:$D$40,MATCH(E161,Valeurs!$A$2:$A$40,0))</f>
        <v>45</v>
      </c>
      <c r="I161" s="72" t="n">
        <f aca="false">F161/INDEX(Valeurs!$B$2:$B$40,MATCH(E161,Valeurs!$A$2:$A$40,0))*INDEX(Valeurs!$E$2:$E$40,MATCH(E161,Valeurs!$A$2:$A$40,0))</f>
        <v>0</v>
      </c>
      <c r="J161" s="64" t="n">
        <v>1</v>
      </c>
    </row>
    <row r="162" customFormat="false" ht="15" hidden="false" customHeight="false" outlineLevel="0" collapsed="false">
      <c r="A162" s="70" t="n">
        <v>46299</v>
      </c>
      <c r="B162" s="64" t="s">
        <v>29</v>
      </c>
      <c r="C162" s="64" t="s">
        <v>56</v>
      </c>
      <c r="D162" s="64" t="s">
        <v>6</v>
      </c>
      <c r="E162" s="64" t="s">
        <v>25</v>
      </c>
      <c r="F162" s="71" t="n">
        <f aca="false">Menu!D93</f>
        <v>130</v>
      </c>
      <c r="G162" s="64" t="s">
        <v>15</v>
      </c>
      <c r="H162" s="66" t="n">
        <f aca="false">F162/INDEX(Valeurs!$B$2:$B$40,MATCH(E162,Valeurs!$A$2:$A$40,0))*INDEX(Valeurs!$D$2:$D$40,MATCH(E162,Valeurs!$A$2:$A$40,0))</f>
        <v>149.5</v>
      </c>
      <c r="I162" s="72" t="n">
        <f aca="false">F162/INDEX(Valeurs!$B$2:$B$40,MATCH(E162,Valeurs!$A$2:$A$40,0))*INDEX(Valeurs!$E$2:$E$40,MATCH(E162,Valeurs!$A$2:$A$40,0))</f>
        <v>29.9</v>
      </c>
      <c r="J162" s="64" t="n">
        <v>1</v>
      </c>
    </row>
    <row r="163" customFormat="false" ht="15" hidden="false" customHeight="false" outlineLevel="0" collapsed="false">
      <c r="A163" s="70" t="n">
        <v>46299</v>
      </c>
      <c r="B163" s="64" t="s">
        <v>29</v>
      </c>
      <c r="C163" s="64" t="s">
        <v>56</v>
      </c>
      <c r="D163" s="64" t="s">
        <v>7</v>
      </c>
      <c r="E163" s="64" t="s">
        <v>25</v>
      </c>
      <c r="F163" s="71" t="n">
        <f aca="false">Menu!E93</f>
        <v>100</v>
      </c>
      <c r="G163" s="64" t="s">
        <v>15</v>
      </c>
      <c r="H163" s="66" t="n">
        <f aca="false">F163/INDEX(Valeurs!$B$2:$B$40,MATCH(E163,Valeurs!$A$2:$A$40,0))*INDEX(Valeurs!$D$2:$D$40,MATCH(E163,Valeurs!$A$2:$A$40,0))</f>
        <v>115</v>
      </c>
      <c r="I163" s="72" t="n">
        <f aca="false">F163/INDEX(Valeurs!$B$2:$B$40,MATCH(E163,Valeurs!$A$2:$A$40,0))*INDEX(Valeurs!$E$2:$E$40,MATCH(E163,Valeurs!$A$2:$A$40,0))</f>
        <v>23</v>
      </c>
      <c r="J163" s="64" t="n">
        <v>1</v>
      </c>
    </row>
    <row r="164" customFormat="false" ht="15" hidden="false" customHeight="false" outlineLevel="0" collapsed="false">
      <c r="A164" s="70" t="n">
        <v>46299</v>
      </c>
      <c r="B164" s="64" t="s">
        <v>29</v>
      </c>
      <c r="C164" s="64" t="s">
        <v>56</v>
      </c>
      <c r="D164" s="64" t="s">
        <v>6</v>
      </c>
      <c r="E164" s="64" t="s">
        <v>57</v>
      </c>
      <c r="F164" s="71" t="n">
        <f aca="false">Menu!D94</f>
        <v>80</v>
      </c>
      <c r="G164" s="64" t="s">
        <v>15</v>
      </c>
      <c r="H164" s="66" t="n">
        <f aca="false">F164/INDEX(Valeurs!$B$2:$B$40,MATCH(E164,Valeurs!$A$2:$A$40,0))*INDEX(Valeurs!$D$2:$D$40,MATCH(E164,Valeurs!$A$2:$A$40,0))</f>
        <v>128</v>
      </c>
      <c r="I164" s="72" t="n">
        <f aca="false">F164/INDEX(Valeurs!$B$2:$B$40,MATCH(E164,Valeurs!$A$2:$A$40,0))*INDEX(Valeurs!$E$2:$E$40,MATCH(E164,Valeurs!$A$2:$A$40,0))</f>
        <v>1.6</v>
      </c>
      <c r="J164" s="64" t="n">
        <v>1</v>
      </c>
    </row>
    <row r="165" customFormat="false" ht="15" hidden="false" customHeight="false" outlineLevel="0" collapsed="false">
      <c r="A165" s="70" t="n">
        <v>46299</v>
      </c>
      <c r="B165" s="64" t="s">
        <v>29</v>
      </c>
      <c r="C165" s="64" t="s">
        <v>56</v>
      </c>
      <c r="D165" s="64" t="s">
        <v>7</v>
      </c>
      <c r="E165" s="64" t="s">
        <v>57</v>
      </c>
      <c r="F165" s="71" t="n">
        <f aca="false">Menu!E94</f>
        <v>60</v>
      </c>
      <c r="G165" s="64" t="s">
        <v>15</v>
      </c>
      <c r="H165" s="66" t="n">
        <f aca="false">F165/INDEX(Valeurs!$B$2:$B$40,MATCH(E165,Valeurs!$A$2:$A$40,0))*INDEX(Valeurs!$D$2:$D$40,MATCH(E165,Valeurs!$A$2:$A$40,0))</f>
        <v>96</v>
      </c>
      <c r="I165" s="72" t="n">
        <f aca="false">F165/INDEX(Valeurs!$B$2:$B$40,MATCH(E165,Valeurs!$A$2:$A$40,0))*INDEX(Valeurs!$E$2:$E$40,MATCH(E165,Valeurs!$A$2:$A$40,0))</f>
        <v>1.2</v>
      </c>
      <c r="J165" s="64" t="n">
        <v>1</v>
      </c>
    </row>
    <row r="166" customFormat="false" ht="15" hidden="false" customHeight="false" outlineLevel="0" collapsed="false">
      <c r="A166" s="70" t="n">
        <v>46299</v>
      </c>
      <c r="B166" s="64" t="s">
        <v>29</v>
      </c>
      <c r="C166" s="64" t="s">
        <v>56</v>
      </c>
      <c r="D166" s="64" t="s">
        <v>6</v>
      </c>
      <c r="E166" s="64" t="s">
        <v>20</v>
      </c>
      <c r="F166" s="71" t="n">
        <f aca="false">Menu!D95</f>
        <v>120</v>
      </c>
      <c r="G166" s="64" t="s">
        <v>15</v>
      </c>
      <c r="H166" s="66" t="n">
        <f aca="false">F166/INDEX(Valeurs!$B$2:$B$40,MATCH(E166,Valeurs!$A$2:$A$40,0))*INDEX(Valeurs!$D$2:$D$40,MATCH(E166,Valeurs!$A$2:$A$40,0))</f>
        <v>21.6</v>
      </c>
      <c r="I166" s="72" t="n">
        <f aca="false">F166/INDEX(Valeurs!$B$2:$B$40,MATCH(E166,Valeurs!$A$2:$A$40,0))*INDEX(Valeurs!$E$2:$E$40,MATCH(E166,Valeurs!$A$2:$A$40,0))</f>
        <v>1.08</v>
      </c>
      <c r="J166" s="64" t="n">
        <v>1</v>
      </c>
    </row>
    <row r="167" customFormat="false" ht="15" hidden="false" customHeight="false" outlineLevel="0" collapsed="false">
      <c r="A167" s="70" t="n">
        <v>46299</v>
      </c>
      <c r="B167" s="64" t="s">
        <v>29</v>
      </c>
      <c r="C167" s="64" t="s">
        <v>56</v>
      </c>
      <c r="D167" s="64" t="s">
        <v>7</v>
      </c>
      <c r="E167" s="64" t="s">
        <v>20</v>
      </c>
      <c r="F167" s="71" t="n">
        <f aca="false">Menu!E95</f>
        <v>150</v>
      </c>
      <c r="G167" s="64" t="s">
        <v>15</v>
      </c>
      <c r="H167" s="66" t="n">
        <f aca="false">F167/INDEX(Valeurs!$B$2:$B$40,MATCH(E167,Valeurs!$A$2:$A$40,0))*INDEX(Valeurs!$D$2:$D$40,MATCH(E167,Valeurs!$A$2:$A$40,0))</f>
        <v>27</v>
      </c>
      <c r="I167" s="72" t="n">
        <f aca="false">F167/INDEX(Valeurs!$B$2:$B$40,MATCH(E167,Valeurs!$A$2:$A$40,0))*INDEX(Valeurs!$E$2:$E$40,MATCH(E167,Valeurs!$A$2:$A$40,0))</f>
        <v>1.35</v>
      </c>
      <c r="J167" s="64" t="n">
        <v>1</v>
      </c>
    </row>
    <row r="168" customFormat="false" ht="15" hidden="false" customHeight="false" outlineLevel="0" collapsed="false">
      <c r="A168" s="70" t="n">
        <v>46299</v>
      </c>
      <c r="B168" s="64" t="s">
        <v>29</v>
      </c>
      <c r="C168" s="64" t="s">
        <v>56</v>
      </c>
      <c r="D168" s="64" t="s">
        <v>6</v>
      </c>
      <c r="E168" s="64" t="s">
        <v>58</v>
      </c>
      <c r="F168" s="71" t="n">
        <f aca="false">Menu!D96</f>
        <v>40</v>
      </c>
      <c r="G168" s="64" t="s">
        <v>15</v>
      </c>
      <c r="H168" s="66" t="n">
        <f aca="false">F168/INDEX(Valeurs!$B$2:$B$40,MATCH(E168,Valeurs!$A$2:$A$40,0))*INDEX(Valeurs!$D$2:$D$40,MATCH(E168,Valeurs!$A$2:$A$40,0))</f>
        <v>32</v>
      </c>
      <c r="I168" s="72" t="n">
        <f aca="false">F168/INDEX(Valeurs!$B$2:$B$40,MATCH(E168,Valeurs!$A$2:$A$40,0))*INDEX(Valeurs!$E$2:$E$40,MATCH(E168,Valeurs!$A$2:$A$40,0))</f>
        <v>1.16</v>
      </c>
      <c r="J168" s="64" t="n">
        <v>1</v>
      </c>
    </row>
    <row r="169" customFormat="false" ht="15" hidden="false" customHeight="false" outlineLevel="0" collapsed="false">
      <c r="A169" s="70" t="n">
        <v>46299</v>
      </c>
      <c r="B169" s="64" t="s">
        <v>29</v>
      </c>
      <c r="C169" s="64" t="s">
        <v>56</v>
      </c>
      <c r="D169" s="64" t="s">
        <v>7</v>
      </c>
      <c r="E169" s="64" t="s">
        <v>58</v>
      </c>
      <c r="F169" s="71" t="n">
        <f aca="false">Menu!E96</f>
        <v>30</v>
      </c>
      <c r="G169" s="64" t="s">
        <v>15</v>
      </c>
      <c r="H169" s="66" t="n">
        <f aca="false">F169/INDEX(Valeurs!$B$2:$B$40,MATCH(E169,Valeurs!$A$2:$A$40,0))*INDEX(Valeurs!$D$2:$D$40,MATCH(E169,Valeurs!$A$2:$A$40,0))</f>
        <v>24</v>
      </c>
      <c r="I169" s="72" t="n">
        <f aca="false">F169/INDEX(Valeurs!$B$2:$B$40,MATCH(E169,Valeurs!$A$2:$A$40,0))*INDEX(Valeurs!$E$2:$E$40,MATCH(E169,Valeurs!$A$2:$A$40,0))</f>
        <v>0.87</v>
      </c>
      <c r="J169" s="64" t="n">
        <v>1</v>
      </c>
    </row>
    <row r="170" customFormat="false" ht="15" hidden="false" customHeight="false" outlineLevel="0" collapsed="false">
      <c r="A170" s="70" t="n">
        <v>46299</v>
      </c>
      <c r="B170" s="64" t="s">
        <v>29</v>
      </c>
      <c r="C170" s="64" t="s">
        <v>56</v>
      </c>
      <c r="D170" s="64" t="s">
        <v>6</v>
      </c>
      <c r="E170" s="64" t="s">
        <v>46</v>
      </c>
      <c r="F170" s="71" t="n">
        <f aca="false">Menu!D97</f>
        <v>40</v>
      </c>
      <c r="G170" s="64" t="s">
        <v>15</v>
      </c>
      <c r="H170" s="66" t="n">
        <f aca="false">F170/INDEX(Valeurs!$B$2:$B$40,MATCH(E170,Valeurs!$A$2:$A$40,0))*INDEX(Valeurs!$D$2:$D$40,MATCH(E170,Valeurs!$A$2:$A$40,0))</f>
        <v>6</v>
      </c>
      <c r="I170" s="72" t="n">
        <f aca="false">F170/INDEX(Valeurs!$B$2:$B$40,MATCH(E170,Valeurs!$A$2:$A$40,0))*INDEX(Valeurs!$E$2:$E$40,MATCH(E170,Valeurs!$A$2:$A$40,0))</f>
        <v>0.56</v>
      </c>
      <c r="J170" s="64" t="n">
        <v>1</v>
      </c>
    </row>
    <row r="171" customFormat="false" ht="15" hidden="false" customHeight="false" outlineLevel="0" collapsed="false">
      <c r="A171" s="70" t="n">
        <v>46299</v>
      </c>
      <c r="B171" s="64" t="s">
        <v>29</v>
      </c>
      <c r="C171" s="64" t="s">
        <v>56</v>
      </c>
      <c r="D171" s="64" t="s">
        <v>7</v>
      </c>
      <c r="E171" s="64" t="s">
        <v>46</v>
      </c>
      <c r="F171" s="71" t="n">
        <f aca="false">Menu!E97</f>
        <v>60</v>
      </c>
      <c r="G171" s="64" t="s">
        <v>15</v>
      </c>
      <c r="H171" s="66" t="n">
        <f aca="false">F171/INDEX(Valeurs!$B$2:$B$40,MATCH(E171,Valeurs!$A$2:$A$40,0))*INDEX(Valeurs!$D$2:$D$40,MATCH(E171,Valeurs!$A$2:$A$40,0))</f>
        <v>9</v>
      </c>
      <c r="I171" s="72" t="n">
        <f aca="false">F171/INDEX(Valeurs!$B$2:$B$40,MATCH(E171,Valeurs!$A$2:$A$40,0))*INDEX(Valeurs!$E$2:$E$40,MATCH(E171,Valeurs!$A$2:$A$40,0))</f>
        <v>0.84</v>
      </c>
      <c r="J171" s="64" t="n">
        <v>1</v>
      </c>
    </row>
    <row r="172" customFormat="false" ht="15" hidden="false" customHeight="false" outlineLevel="0" collapsed="false">
      <c r="A172" s="70" t="n">
        <v>46299</v>
      </c>
      <c r="B172" s="64" t="s">
        <v>29</v>
      </c>
      <c r="C172" s="64" t="s">
        <v>56</v>
      </c>
      <c r="D172" s="64" t="s">
        <v>6</v>
      </c>
      <c r="E172" s="64" t="s">
        <v>28</v>
      </c>
      <c r="F172" s="71" t="n">
        <f aca="false">Menu!D98</f>
        <v>8</v>
      </c>
      <c r="G172" s="64" t="s">
        <v>15</v>
      </c>
      <c r="H172" s="66" t="n">
        <f aca="false">F172/INDEX(Valeurs!$B$2:$B$40,MATCH(E172,Valeurs!$A$2:$A$40,0))*INDEX(Valeurs!$D$2:$D$40,MATCH(E172,Valeurs!$A$2:$A$40,0))</f>
        <v>72</v>
      </c>
      <c r="I172" s="72" t="n">
        <f aca="false">F172/INDEX(Valeurs!$B$2:$B$40,MATCH(E172,Valeurs!$A$2:$A$40,0))*INDEX(Valeurs!$E$2:$E$40,MATCH(E172,Valeurs!$A$2:$A$40,0))</f>
        <v>0</v>
      </c>
      <c r="J172" s="64" t="n">
        <v>1</v>
      </c>
    </row>
    <row r="173" customFormat="false" ht="15" hidden="false" customHeight="false" outlineLevel="0" collapsed="false">
      <c r="A173" s="70" t="n">
        <v>46299</v>
      </c>
      <c r="B173" s="64" t="s">
        <v>29</v>
      </c>
      <c r="C173" s="64" t="s">
        <v>56</v>
      </c>
      <c r="D173" s="64" t="s">
        <v>7</v>
      </c>
      <c r="E173" s="64" t="s">
        <v>28</v>
      </c>
      <c r="F173" s="71" t="n">
        <f aca="false">Menu!E98</f>
        <v>6</v>
      </c>
      <c r="G173" s="64" t="s">
        <v>15</v>
      </c>
      <c r="H173" s="66" t="n">
        <f aca="false">F173/INDEX(Valeurs!$B$2:$B$40,MATCH(E173,Valeurs!$A$2:$A$40,0))*INDEX(Valeurs!$D$2:$D$40,MATCH(E173,Valeurs!$A$2:$A$40,0))</f>
        <v>54</v>
      </c>
      <c r="I173" s="72" t="n">
        <f aca="false">F173/INDEX(Valeurs!$B$2:$B$40,MATCH(E173,Valeurs!$A$2:$A$40,0))*INDEX(Valeurs!$E$2:$E$40,MATCH(E173,Valeurs!$A$2:$A$40,0))</f>
        <v>0</v>
      </c>
      <c r="J173" s="64" t="n">
        <v>1</v>
      </c>
    </row>
    <row r="174" customFormat="false" ht="15" hidden="false" customHeight="false" outlineLevel="0" collapsed="false">
      <c r="A174" s="70" t="n">
        <v>46299</v>
      </c>
      <c r="B174" s="64" t="s">
        <v>36</v>
      </c>
      <c r="C174" s="64" t="s">
        <v>59</v>
      </c>
      <c r="D174" s="64" t="s">
        <v>6</v>
      </c>
      <c r="E174" s="64" t="s">
        <v>59</v>
      </c>
      <c r="F174" s="71" t="n">
        <f aca="false">Menu!D99</f>
        <v>75</v>
      </c>
      <c r="G174" s="64" t="s">
        <v>15</v>
      </c>
      <c r="H174" s="66" t="n">
        <f aca="false">F174/INDEX(Valeurs!$B$2:$B$40,MATCH(E174,Valeurs!$A$2:$A$40,0))*INDEX(Valeurs!$D$2:$D$40,MATCH(E174,Valeurs!$A$2:$A$40,0))</f>
        <v>150</v>
      </c>
      <c r="I174" s="72" t="n">
        <f aca="false">F174/INDEX(Valeurs!$B$2:$B$40,MATCH(E174,Valeurs!$A$2:$A$40,0))*INDEX(Valeurs!$E$2:$E$40,MATCH(E174,Valeurs!$A$2:$A$40,0))</f>
        <v>2.625</v>
      </c>
      <c r="J174" s="64" t="n">
        <v>1</v>
      </c>
    </row>
    <row r="175" customFormat="false" ht="15" hidden="false" customHeight="false" outlineLevel="0" collapsed="false">
      <c r="A175" s="70" t="n">
        <v>46299</v>
      </c>
      <c r="B175" s="64" t="s">
        <v>36</v>
      </c>
      <c r="C175" s="64" t="s">
        <v>59</v>
      </c>
      <c r="D175" s="64" t="s">
        <v>7</v>
      </c>
      <c r="E175" s="64" t="s">
        <v>59</v>
      </c>
      <c r="F175" s="71" t="n">
        <f aca="false">Menu!E99</f>
        <v>55</v>
      </c>
      <c r="G175" s="64" t="s">
        <v>15</v>
      </c>
      <c r="H175" s="66" t="n">
        <f aca="false">F175/INDEX(Valeurs!$B$2:$B$40,MATCH(E175,Valeurs!$A$2:$A$40,0))*INDEX(Valeurs!$D$2:$D$40,MATCH(E175,Valeurs!$A$2:$A$40,0))</f>
        <v>110</v>
      </c>
      <c r="I175" s="72" t="n">
        <f aca="false">F175/INDEX(Valeurs!$B$2:$B$40,MATCH(E175,Valeurs!$A$2:$A$40,0))*INDEX(Valeurs!$E$2:$E$40,MATCH(E175,Valeurs!$A$2:$A$40,0))</f>
        <v>1.925</v>
      </c>
      <c r="J175" s="64" t="n">
        <v>1</v>
      </c>
    </row>
    <row r="176" customFormat="false" ht="15" hidden="false" customHeight="false" outlineLevel="0" collapsed="false">
      <c r="A176" s="70" t="n">
        <v>46300</v>
      </c>
      <c r="B176" s="64" t="s">
        <v>10</v>
      </c>
      <c r="C176" s="64" t="s">
        <v>11</v>
      </c>
      <c r="D176" s="64" t="s">
        <v>6</v>
      </c>
      <c r="E176" s="64" t="s">
        <v>12</v>
      </c>
      <c r="F176" s="71" t="n">
        <f aca="false">Menu!D102</f>
        <v>250</v>
      </c>
      <c r="G176" s="64" t="s">
        <v>13</v>
      </c>
      <c r="H176" s="66" t="n">
        <f aca="false">F176/INDEX(Valeurs!$B$2:$B$40,MATCH(E176,Valeurs!$A$2:$A$40,0))*INDEX(Valeurs!$D$2:$D$40,MATCH(E176,Valeurs!$A$2:$A$40,0))</f>
        <v>115</v>
      </c>
      <c r="I176" s="72" t="n">
        <f aca="false">F176/INDEX(Valeurs!$B$2:$B$40,MATCH(E176,Valeurs!$A$2:$A$40,0))*INDEX(Valeurs!$E$2:$E$40,MATCH(E176,Valeurs!$A$2:$A$40,0))</f>
        <v>8.25</v>
      </c>
      <c r="J176" s="64" t="n">
        <v>1</v>
      </c>
    </row>
    <row r="177" customFormat="false" ht="15" hidden="false" customHeight="false" outlineLevel="0" collapsed="false">
      <c r="A177" s="70" t="n">
        <v>46300</v>
      </c>
      <c r="B177" s="64" t="s">
        <v>10</v>
      </c>
      <c r="C177" s="64" t="s">
        <v>11</v>
      </c>
      <c r="D177" s="64" t="s">
        <v>7</v>
      </c>
      <c r="E177" s="64" t="s">
        <v>12</v>
      </c>
      <c r="F177" s="71" t="n">
        <f aca="false">Menu!E102</f>
        <v>0</v>
      </c>
      <c r="G177" s="64" t="s">
        <v>13</v>
      </c>
      <c r="H177" s="66" t="n">
        <f aca="false">F177/INDEX(Valeurs!$B$2:$B$40,MATCH(E177,Valeurs!$A$2:$A$40,0))*INDEX(Valeurs!$D$2:$D$40,MATCH(E177,Valeurs!$A$2:$A$40,0))</f>
        <v>0</v>
      </c>
      <c r="I177" s="72" t="n">
        <f aca="false">F177/INDEX(Valeurs!$B$2:$B$40,MATCH(E177,Valeurs!$A$2:$A$40,0))*INDEX(Valeurs!$E$2:$E$40,MATCH(E177,Valeurs!$A$2:$A$40,0))</f>
        <v>0</v>
      </c>
      <c r="J177" s="64" t="n">
        <v>1</v>
      </c>
    </row>
    <row r="178" customFormat="false" ht="15" hidden="false" customHeight="false" outlineLevel="0" collapsed="false">
      <c r="A178" s="70" t="n">
        <v>46300</v>
      </c>
      <c r="B178" s="64" t="s">
        <v>10</v>
      </c>
      <c r="C178" s="64" t="s">
        <v>11</v>
      </c>
      <c r="D178" s="64" t="s">
        <v>6</v>
      </c>
      <c r="E178" s="64" t="s">
        <v>14</v>
      </c>
      <c r="F178" s="71" t="n">
        <f aca="false">Menu!D103</f>
        <v>100</v>
      </c>
      <c r="G178" s="64" t="s">
        <v>15</v>
      </c>
      <c r="H178" s="66" t="n">
        <f aca="false">F178/INDEX(Valeurs!$B$2:$B$40,MATCH(E178,Valeurs!$A$2:$A$40,0))*INDEX(Valeurs!$D$2:$D$40,MATCH(E178,Valeurs!$A$2:$A$40,0))</f>
        <v>90</v>
      </c>
      <c r="I178" s="72" t="n">
        <f aca="false">F178/INDEX(Valeurs!$B$2:$B$40,MATCH(E178,Valeurs!$A$2:$A$40,0))*INDEX(Valeurs!$E$2:$E$40,MATCH(E178,Valeurs!$A$2:$A$40,0))</f>
        <v>1.1</v>
      </c>
      <c r="J178" s="64" t="n">
        <v>1</v>
      </c>
    </row>
    <row r="179" customFormat="false" ht="15" hidden="false" customHeight="false" outlineLevel="0" collapsed="false">
      <c r="A179" s="70" t="n">
        <v>46300</v>
      </c>
      <c r="B179" s="64" t="s">
        <v>10</v>
      </c>
      <c r="C179" s="64" t="s">
        <v>11</v>
      </c>
      <c r="D179" s="64" t="s">
        <v>7</v>
      </c>
      <c r="E179" s="64" t="s">
        <v>14</v>
      </c>
      <c r="F179" s="71" t="n">
        <f aca="false">Menu!E103</f>
        <v>0</v>
      </c>
      <c r="G179" s="64" t="s">
        <v>15</v>
      </c>
      <c r="H179" s="66" t="n">
        <f aca="false">F179/INDEX(Valeurs!$B$2:$B$40,MATCH(E179,Valeurs!$A$2:$A$40,0))*INDEX(Valeurs!$D$2:$D$40,MATCH(E179,Valeurs!$A$2:$A$40,0))</f>
        <v>0</v>
      </c>
      <c r="I179" s="72" t="n">
        <f aca="false">F179/INDEX(Valeurs!$B$2:$B$40,MATCH(E179,Valeurs!$A$2:$A$40,0))*INDEX(Valeurs!$E$2:$E$40,MATCH(E179,Valeurs!$A$2:$A$40,0))</f>
        <v>0</v>
      </c>
      <c r="J179" s="64" t="n">
        <v>1</v>
      </c>
    </row>
    <row r="180" customFormat="false" ht="15" hidden="false" customHeight="false" outlineLevel="0" collapsed="false">
      <c r="A180" s="70" t="n">
        <v>46300</v>
      </c>
      <c r="B180" s="64" t="s">
        <v>10</v>
      </c>
      <c r="C180" s="64" t="s">
        <v>11</v>
      </c>
      <c r="D180" s="64" t="s">
        <v>6</v>
      </c>
      <c r="E180" s="64" t="s">
        <v>16</v>
      </c>
      <c r="F180" s="71" t="n">
        <f aca="false">Menu!D104</f>
        <v>65</v>
      </c>
      <c r="G180" s="64" t="s">
        <v>15</v>
      </c>
      <c r="H180" s="66" t="n">
        <f aca="false">F180/INDEX(Valeurs!$B$2:$B$40,MATCH(E180,Valeurs!$A$2:$A$40,0))*INDEX(Valeurs!$D$2:$D$40,MATCH(E180,Valeurs!$A$2:$A$40,0))</f>
        <v>241.8</v>
      </c>
      <c r="I180" s="72" t="n">
        <f aca="false">F180/INDEX(Valeurs!$B$2:$B$40,MATCH(E180,Valeurs!$A$2:$A$40,0))*INDEX(Valeurs!$E$2:$E$40,MATCH(E180,Valeurs!$A$2:$A$40,0))</f>
        <v>8.775</v>
      </c>
      <c r="J180" s="64" t="n">
        <v>1</v>
      </c>
    </row>
    <row r="181" customFormat="false" ht="15" hidden="false" customHeight="false" outlineLevel="0" collapsed="false">
      <c r="A181" s="70" t="n">
        <v>46300</v>
      </c>
      <c r="B181" s="64" t="s">
        <v>10</v>
      </c>
      <c r="C181" s="64" t="s">
        <v>11</v>
      </c>
      <c r="D181" s="64" t="s">
        <v>7</v>
      </c>
      <c r="E181" s="64" t="s">
        <v>16</v>
      </c>
      <c r="F181" s="71" t="n">
        <f aca="false">Menu!E104</f>
        <v>0</v>
      </c>
      <c r="G181" s="64" t="s">
        <v>15</v>
      </c>
      <c r="H181" s="66" t="n">
        <f aca="false">F181/INDEX(Valeurs!$B$2:$B$40,MATCH(E181,Valeurs!$A$2:$A$40,0))*INDEX(Valeurs!$D$2:$D$40,MATCH(E181,Valeurs!$A$2:$A$40,0))</f>
        <v>0</v>
      </c>
      <c r="I181" s="72" t="n">
        <f aca="false">F181/INDEX(Valeurs!$B$2:$B$40,MATCH(E181,Valeurs!$A$2:$A$40,0))*INDEX(Valeurs!$E$2:$E$40,MATCH(E181,Valeurs!$A$2:$A$40,0))</f>
        <v>0</v>
      </c>
      <c r="J181" s="64" t="n">
        <v>1</v>
      </c>
    </row>
    <row r="182" customFormat="false" ht="15" hidden="false" customHeight="false" outlineLevel="0" collapsed="false">
      <c r="A182" s="70" t="n">
        <v>46300</v>
      </c>
      <c r="B182" s="64" t="s">
        <v>10</v>
      </c>
      <c r="C182" s="64" t="s">
        <v>11</v>
      </c>
      <c r="D182" s="64" t="s">
        <v>6</v>
      </c>
      <c r="E182" s="64" t="s">
        <v>17</v>
      </c>
      <c r="F182" s="71" t="n">
        <f aca="false">Menu!D105</f>
        <v>1</v>
      </c>
      <c r="G182" s="64" t="s">
        <v>171</v>
      </c>
      <c r="H182" s="66" t="n">
        <f aca="false">F182/INDEX(Valeurs!$B$2:$B$40,MATCH(E182,Valeurs!$A$2:$A$40,0))*INDEX(Valeurs!$D$2:$D$40,MATCH(E182,Valeurs!$A$2:$A$40,0))</f>
        <v>87</v>
      </c>
      <c r="I182" s="72" t="n">
        <f aca="false">F182/INDEX(Valeurs!$B$2:$B$40,MATCH(E182,Valeurs!$A$2:$A$40,0))*INDEX(Valeurs!$E$2:$E$40,MATCH(E182,Valeurs!$A$2:$A$40,0))</f>
        <v>7.5</v>
      </c>
      <c r="J182" s="64" t="n">
        <v>1</v>
      </c>
    </row>
    <row r="183" customFormat="false" ht="15" hidden="false" customHeight="false" outlineLevel="0" collapsed="false">
      <c r="A183" s="70" t="n">
        <v>46300</v>
      </c>
      <c r="B183" s="64" t="s">
        <v>10</v>
      </c>
      <c r="C183" s="64" t="s">
        <v>11</v>
      </c>
      <c r="D183" s="64" t="s">
        <v>7</v>
      </c>
      <c r="E183" s="64" t="s">
        <v>17</v>
      </c>
      <c r="F183" s="71" t="n">
        <f aca="false">Menu!E105</f>
        <v>2</v>
      </c>
      <c r="G183" s="64" t="s">
        <v>171</v>
      </c>
      <c r="H183" s="66" t="n">
        <f aca="false">F183/INDEX(Valeurs!$B$2:$B$40,MATCH(E183,Valeurs!$A$2:$A$40,0))*INDEX(Valeurs!$D$2:$D$40,MATCH(E183,Valeurs!$A$2:$A$40,0))</f>
        <v>174</v>
      </c>
      <c r="I183" s="72" t="n">
        <f aca="false">F183/INDEX(Valeurs!$B$2:$B$40,MATCH(E183,Valeurs!$A$2:$A$40,0))*INDEX(Valeurs!$E$2:$E$40,MATCH(E183,Valeurs!$A$2:$A$40,0))</f>
        <v>15</v>
      </c>
      <c r="J183" s="64" t="n">
        <v>1</v>
      </c>
    </row>
    <row r="184" customFormat="false" ht="15" hidden="false" customHeight="false" outlineLevel="0" collapsed="false">
      <c r="A184" s="70" t="n">
        <v>46300</v>
      </c>
      <c r="B184" s="64" t="s">
        <v>10</v>
      </c>
      <c r="C184" s="64" t="s">
        <v>11</v>
      </c>
      <c r="D184" s="64" t="s">
        <v>6</v>
      </c>
      <c r="E184" s="64" t="s">
        <v>19</v>
      </c>
      <c r="F184" s="71" t="n">
        <f aca="false">Menu!D106</f>
        <v>0</v>
      </c>
      <c r="G184" s="64" t="s">
        <v>15</v>
      </c>
      <c r="H184" s="66" t="n">
        <f aca="false">F184/INDEX(Valeurs!$B$2:$B$40,MATCH(E184,Valeurs!$A$2:$A$40,0))*INDEX(Valeurs!$D$2:$D$40,MATCH(E184,Valeurs!$A$2:$A$40,0))</f>
        <v>0</v>
      </c>
      <c r="I184" s="72" t="n">
        <f aca="false">F184/INDEX(Valeurs!$B$2:$B$40,MATCH(E184,Valeurs!$A$2:$A$40,0))*INDEX(Valeurs!$E$2:$E$40,MATCH(E184,Valeurs!$A$2:$A$40,0))</f>
        <v>0</v>
      </c>
      <c r="J184" s="64" t="n">
        <v>1</v>
      </c>
    </row>
    <row r="185" customFormat="false" ht="15" hidden="false" customHeight="false" outlineLevel="0" collapsed="false">
      <c r="A185" s="70" t="n">
        <v>46300</v>
      </c>
      <c r="B185" s="64" t="s">
        <v>10</v>
      </c>
      <c r="C185" s="64" t="s">
        <v>11</v>
      </c>
      <c r="D185" s="64" t="s">
        <v>7</v>
      </c>
      <c r="E185" s="64" t="s">
        <v>19</v>
      </c>
      <c r="F185" s="71" t="n">
        <f aca="false">Menu!E106</f>
        <v>30</v>
      </c>
      <c r="G185" s="64" t="s">
        <v>15</v>
      </c>
      <c r="H185" s="66" t="n">
        <f aca="false">F185/INDEX(Valeurs!$B$2:$B$40,MATCH(E185,Valeurs!$A$2:$A$40,0))*INDEX(Valeurs!$D$2:$D$40,MATCH(E185,Valeurs!$A$2:$A$40,0))</f>
        <v>33</v>
      </c>
      <c r="I185" s="72" t="n">
        <f aca="false">F185/INDEX(Valeurs!$B$2:$B$40,MATCH(E185,Valeurs!$A$2:$A$40,0))*INDEX(Valeurs!$E$2:$E$40,MATCH(E185,Valeurs!$A$2:$A$40,0))</f>
        <v>6</v>
      </c>
      <c r="J185" s="64" t="n">
        <v>1</v>
      </c>
    </row>
    <row r="186" customFormat="false" ht="15" hidden="false" customHeight="false" outlineLevel="0" collapsed="false">
      <c r="A186" s="70" t="n">
        <v>46300</v>
      </c>
      <c r="B186" s="64" t="s">
        <v>10</v>
      </c>
      <c r="C186" s="64" t="s">
        <v>11</v>
      </c>
      <c r="D186" s="64" t="s">
        <v>6</v>
      </c>
      <c r="E186" s="64" t="s">
        <v>20</v>
      </c>
      <c r="F186" s="71" t="n">
        <f aca="false">Menu!D107</f>
        <v>0</v>
      </c>
      <c r="G186" s="64" t="s">
        <v>15</v>
      </c>
      <c r="H186" s="66" t="n">
        <f aca="false">F186/INDEX(Valeurs!$B$2:$B$40,MATCH(E186,Valeurs!$A$2:$A$40,0))*INDEX(Valeurs!$D$2:$D$40,MATCH(E186,Valeurs!$A$2:$A$40,0))</f>
        <v>0</v>
      </c>
      <c r="I186" s="72" t="n">
        <f aca="false">F186/INDEX(Valeurs!$B$2:$B$40,MATCH(E186,Valeurs!$A$2:$A$40,0))*INDEX(Valeurs!$E$2:$E$40,MATCH(E186,Valeurs!$A$2:$A$40,0))</f>
        <v>0</v>
      </c>
      <c r="J186" s="64" t="n">
        <v>1</v>
      </c>
    </row>
    <row r="187" customFormat="false" ht="15" hidden="false" customHeight="false" outlineLevel="0" collapsed="false">
      <c r="A187" s="70" t="n">
        <v>46300</v>
      </c>
      <c r="B187" s="64" t="s">
        <v>10</v>
      </c>
      <c r="C187" s="64" t="s">
        <v>11</v>
      </c>
      <c r="D187" s="64" t="s">
        <v>7</v>
      </c>
      <c r="E187" s="64" t="s">
        <v>20</v>
      </c>
      <c r="F187" s="71" t="n">
        <f aca="false">Menu!E107</f>
        <v>80</v>
      </c>
      <c r="G187" s="64" t="s">
        <v>15</v>
      </c>
      <c r="H187" s="66" t="n">
        <f aca="false">F187/INDEX(Valeurs!$B$2:$B$40,MATCH(E187,Valeurs!$A$2:$A$40,0))*INDEX(Valeurs!$D$2:$D$40,MATCH(E187,Valeurs!$A$2:$A$40,0))</f>
        <v>14.4</v>
      </c>
      <c r="I187" s="72" t="n">
        <f aca="false">F187/INDEX(Valeurs!$B$2:$B$40,MATCH(E187,Valeurs!$A$2:$A$40,0))*INDEX(Valeurs!$E$2:$E$40,MATCH(E187,Valeurs!$A$2:$A$40,0))</f>
        <v>0.72</v>
      </c>
      <c r="J187" s="64" t="n">
        <v>1</v>
      </c>
    </row>
    <row r="188" customFormat="false" ht="15" hidden="false" customHeight="false" outlineLevel="0" collapsed="false">
      <c r="A188" s="70" t="n">
        <v>46300</v>
      </c>
      <c r="B188" s="64" t="s">
        <v>10</v>
      </c>
      <c r="C188" s="64" t="s">
        <v>11</v>
      </c>
      <c r="D188" s="64" t="s">
        <v>6</v>
      </c>
      <c r="E188" s="64" t="s">
        <v>21</v>
      </c>
      <c r="F188" s="71" t="n">
        <f aca="false">Menu!D108</f>
        <v>0</v>
      </c>
      <c r="G188" s="64" t="s">
        <v>15</v>
      </c>
      <c r="H188" s="66" t="n">
        <f aca="false">F188/INDEX(Valeurs!$B$2:$B$40,MATCH(E188,Valeurs!$A$2:$A$40,0))*INDEX(Valeurs!$D$2:$D$40,MATCH(E188,Valeurs!$A$2:$A$40,0))</f>
        <v>0</v>
      </c>
      <c r="I188" s="72" t="n">
        <f aca="false">F188/INDEX(Valeurs!$B$2:$B$40,MATCH(E188,Valeurs!$A$2:$A$40,0))*INDEX(Valeurs!$E$2:$E$40,MATCH(E188,Valeurs!$A$2:$A$40,0))</f>
        <v>0</v>
      </c>
      <c r="J188" s="64" t="n">
        <v>1</v>
      </c>
    </row>
    <row r="189" customFormat="false" ht="15" hidden="false" customHeight="false" outlineLevel="0" collapsed="false">
      <c r="A189" s="70" t="n">
        <v>46300</v>
      </c>
      <c r="B189" s="64" t="s">
        <v>10</v>
      </c>
      <c r="C189" s="64" t="s">
        <v>11</v>
      </c>
      <c r="D189" s="64" t="s">
        <v>7</v>
      </c>
      <c r="E189" s="64" t="s">
        <v>21</v>
      </c>
      <c r="F189" s="71" t="n">
        <f aca="false">Menu!E108</f>
        <v>40</v>
      </c>
      <c r="G189" s="64" t="s">
        <v>15</v>
      </c>
      <c r="H189" s="66" t="n">
        <f aca="false">F189/INDEX(Valeurs!$B$2:$B$40,MATCH(E189,Valeurs!$A$2:$A$40,0))*INDEX(Valeurs!$D$2:$D$40,MATCH(E189,Valeurs!$A$2:$A$40,0))</f>
        <v>96</v>
      </c>
      <c r="I189" s="72" t="n">
        <f aca="false">F189/INDEX(Valeurs!$B$2:$B$40,MATCH(E189,Valeurs!$A$2:$A$40,0))*INDEX(Valeurs!$E$2:$E$40,MATCH(E189,Valeurs!$A$2:$A$40,0))</f>
        <v>3.6</v>
      </c>
      <c r="J189" s="64" t="n">
        <v>1</v>
      </c>
    </row>
    <row r="190" customFormat="false" ht="15" hidden="false" customHeight="false" outlineLevel="0" collapsed="false">
      <c r="A190" s="70" t="n">
        <v>46300</v>
      </c>
      <c r="B190" s="64" t="s">
        <v>10</v>
      </c>
      <c r="C190" s="64" t="s">
        <v>11</v>
      </c>
      <c r="D190" s="64" t="s">
        <v>6</v>
      </c>
      <c r="E190" s="64" t="s">
        <v>22</v>
      </c>
      <c r="F190" s="71" t="n">
        <f aca="false">Menu!D109</f>
        <v>0</v>
      </c>
      <c r="G190" s="64" t="s">
        <v>15</v>
      </c>
      <c r="H190" s="66" t="n">
        <f aca="false">F190/INDEX(Valeurs!$B$2:$B$40,MATCH(E190,Valeurs!$A$2:$A$40,0))*INDEX(Valeurs!$D$2:$D$40,MATCH(E190,Valeurs!$A$2:$A$40,0))</f>
        <v>0</v>
      </c>
      <c r="I190" s="72" t="n">
        <f aca="false">F190/INDEX(Valeurs!$B$2:$B$40,MATCH(E190,Valeurs!$A$2:$A$40,0))*INDEX(Valeurs!$E$2:$E$40,MATCH(E190,Valeurs!$A$2:$A$40,0))</f>
        <v>0</v>
      </c>
      <c r="J190" s="64" t="n">
        <v>1</v>
      </c>
    </row>
    <row r="191" customFormat="false" ht="15" hidden="false" customHeight="false" outlineLevel="0" collapsed="false">
      <c r="A191" s="70" t="n">
        <v>46300</v>
      </c>
      <c r="B191" s="64" t="s">
        <v>10</v>
      </c>
      <c r="C191" s="64" t="s">
        <v>11</v>
      </c>
      <c r="D191" s="64" t="s">
        <v>7</v>
      </c>
      <c r="E191" s="64" t="s">
        <v>22</v>
      </c>
      <c r="F191" s="71" t="n">
        <f aca="false">Menu!E109</f>
        <v>150</v>
      </c>
      <c r="G191" s="64" t="s">
        <v>15</v>
      </c>
      <c r="H191" s="66" t="n">
        <f aca="false">F191/INDEX(Valeurs!$B$2:$B$40,MATCH(E191,Valeurs!$A$2:$A$40,0))*INDEX(Valeurs!$D$2:$D$40,MATCH(E191,Valeurs!$A$2:$A$40,0))</f>
        <v>78</v>
      </c>
      <c r="I191" s="72" t="n">
        <f aca="false">F191/INDEX(Valeurs!$B$2:$B$40,MATCH(E191,Valeurs!$A$2:$A$40,0))*INDEX(Valeurs!$E$2:$E$40,MATCH(E191,Valeurs!$A$2:$A$40,0))</f>
        <v>0.45</v>
      </c>
      <c r="J191" s="64" t="n">
        <v>1</v>
      </c>
    </row>
    <row r="192" customFormat="false" ht="15" hidden="false" customHeight="false" outlineLevel="0" collapsed="false">
      <c r="A192" s="70" t="n">
        <v>46300</v>
      </c>
      <c r="B192" s="64" t="s">
        <v>23</v>
      </c>
      <c r="C192" s="64" t="s">
        <v>61</v>
      </c>
      <c r="D192" s="64" t="s">
        <v>6</v>
      </c>
      <c r="E192" s="64" t="s">
        <v>25</v>
      </c>
      <c r="F192" s="71" t="n">
        <f aca="false">Menu!D110</f>
        <v>150</v>
      </c>
      <c r="G192" s="64" t="s">
        <v>15</v>
      </c>
      <c r="H192" s="66" t="n">
        <f aca="false">F192/INDEX(Valeurs!$B$2:$B$40,MATCH(E192,Valeurs!$A$2:$A$40,0))*INDEX(Valeurs!$D$2:$D$40,MATCH(E192,Valeurs!$A$2:$A$40,0))</f>
        <v>172.5</v>
      </c>
      <c r="I192" s="72" t="n">
        <f aca="false">F192/INDEX(Valeurs!$B$2:$B$40,MATCH(E192,Valeurs!$A$2:$A$40,0))*INDEX(Valeurs!$E$2:$E$40,MATCH(E192,Valeurs!$A$2:$A$40,0))</f>
        <v>34.5</v>
      </c>
      <c r="J192" s="64" t="n">
        <v>1</v>
      </c>
    </row>
    <row r="193" customFormat="false" ht="15" hidden="false" customHeight="false" outlineLevel="0" collapsed="false">
      <c r="A193" s="70" t="n">
        <v>46300</v>
      </c>
      <c r="B193" s="64" t="s">
        <v>23</v>
      </c>
      <c r="C193" s="64" t="s">
        <v>61</v>
      </c>
      <c r="D193" s="64" t="s">
        <v>7</v>
      </c>
      <c r="E193" s="64" t="s">
        <v>25</v>
      </c>
      <c r="F193" s="71" t="n">
        <f aca="false">Menu!E110</f>
        <v>120</v>
      </c>
      <c r="G193" s="64" t="s">
        <v>15</v>
      </c>
      <c r="H193" s="66" t="n">
        <f aca="false">F193/INDEX(Valeurs!$B$2:$B$40,MATCH(E193,Valeurs!$A$2:$A$40,0))*INDEX(Valeurs!$D$2:$D$40,MATCH(E193,Valeurs!$A$2:$A$40,0))</f>
        <v>138</v>
      </c>
      <c r="I193" s="72" t="n">
        <f aca="false">F193/INDEX(Valeurs!$B$2:$B$40,MATCH(E193,Valeurs!$A$2:$A$40,0))*INDEX(Valeurs!$E$2:$E$40,MATCH(E193,Valeurs!$A$2:$A$40,0))</f>
        <v>27.6</v>
      </c>
      <c r="J193" s="64" t="n">
        <v>1</v>
      </c>
    </row>
    <row r="194" customFormat="false" ht="15" hidden="false" customHeight="false" outlineLevel="0" collapsed="false">
      <c r="A194" s="70" t="n">
        <v>46300</v>
      </c>
      <c r="B194" s="64" t="s">
        <v>23</v>
      </c>
      <c r="C194" s="64" t="s">
        <v>61</v>
      </c>
      <c r="D194" s="64" t="s">
        <v>6</v>
      </c>
      <c r="E194" s="64" t="s">
        <v>32</v>
      </c>
      <c r="F194" s="71" t="n">
        <f aca="false">Menu!D111</f>
        <v>300</v>
      </c>
      <c r="G194" s="64" t="s">
        <v>15</v>
      </c>
      <c r="H194" s="66" t="n">
        <f aca="false">F194/INDEX(Valeurs!$B$2:$B$40,MATCH(E194,Valeurs!$A$2:$A$40,0))*INDEX(Valeurs!$D$2:$D$40,MATCH(E194,Valeurs!$A$2:$A$40,0))</f>
        <v>258</v>
      </c>
      <c r="I194" s="72" t="n">
        <f aca="false">F194/INDEX(Valeurs!$B$2:$B$40,MATCH(E194,Valeurs!$A$2:$A$40,0))*INDEX(Valeurs!$E$2:$E$40,MATCH(E194,Valeurs!$A$2:$A$40,0))</f>
        <v>4.8</v>
      </c>
      <c r="J194" s="64" t="n">
        <v>1</v>
      </c>
    </row>
    <row r="195" customFormat="false" ht="15" hidden="false" customHeight="false" outlineLevel="0" collapsed="false">
      <c r="A195" s="70" t="n">
        <v>46300</v>
      </c>
      <c r="B195" s="64" t="s">
        <v>23</v>
      </c>
      <c r="C195" s="64" t="s">
        <v>61</v>
      </c>
      <c r="D195" s="64" t="s">
        <v>7</v>
      </c>
      <c r="E195" s="64" t="s">
        <v>32</v>
      </c>
      <c r="F195" s="71" t="n">
        <f aca="false">Menu!E111</f>
        <v>140</v>
      </c>
      <c r="G195" s="64" t="s">
        <v>15</v>
      </c>
      <c r="H195" s="66" t="n">
        <f aca="false">F195/INDEX(Valeurs!$B$2:$B$40,MATCH(E195,Valeurs!$A$2:$A$40,0))*INDEX(Valeurs!$D$2:$D$40,MATCH(E195,Valeurs!$A$2:$A$40,0))</f>
        <v>120.4</v>
      </c>
      <c r="I195" s="72" t="n">
        <f aca="false">F195/INDEX(Valeurs!$B$2:$B$40,MATCH(E195,Valeurs!$A$2:$A$40,0))*INDEX(Valeurs!$E$2:$E$40,MATCH(E195,Valeurs!$A$2:$A$40,0))</f>
        <v>2.24</v>
      </c>
      <c r="J195" s="64" t="n">
        <v>1</v>
      </c>
    </row>
    <row r="196" customFormat="false" ht="15" hidden="false" customHeight="false" outlineLevel="0" collapsed="false">
      <c r="A196" s="70" t="n">
        <v>46300</v>
      </c>
      <c r="B196" s="64" t="s">
        <v>23</v>
      </c>
      <c r="C196" s="64" t="s">
        <v>61</v>
      </c>
      <c r="D196" s="64" t="s">
        <v>6</v>
      </c>
      <c r="E196" s="64" t="s">
        <v>27</v>
      </c>
      <c r="F196" s="71" t="n">
        <f aca="false">Menu!D112</f>
        <v>250</v>
      </c>
      <c r="G196" s="64" t="s">
        <v>15</v>
      </c>
      <c r="H196" s="66" t="n">
        <f aca="false">F196/INDEX(Valeurs!$B$2:$B$40,MATCH(E196,Valeurs!$A$2:$A$40,0))*INDEX(Valeurs!$D$2:$D$40,MATCH(E196,Valeurs!$A$2:$A$40,0))</f>
        <v>77.5</v>
      </c>
      <c r="I196" s="72" t="n">
        <f aca="false">F196/INDEX(Valeurs!$B$2:$B$40,MATCH(E196,Valeurs!$A$2:$A$40,0))*INDEX(Valeurs!$E$2:$E$40,MATCH(E196,Valeurs!$A$2:$A$40,0))</f>
        <v>4.5</v>
      </c>
      <c r="J196" s="64" t="n">
        <v>1</v>
      </c>
    </row>
    <row r="197" customFormat="false" ht="15" hidden="false" customHeight="false" outlineLevel="0" collapsed="false">
      <c r="A197" s="70" t="n">
        <v>46300</v>
      </c>
      <c r="B197" s="64" t="s">
        <v>23</v>
      </c>
      <c r="C197" s="64" t="s">
        <v>61</v>
      </c>
      <c r="D197" s="64" t="s">
        <v>7</v>
      </c>
      <c r="E197" s="64" t="s">
        <v>27</v>
      </c>
      <c r="F197" s="71" t="n">
        <f aca="false">Menu!E112</f>
        <v>280</v>
      </c>
      <c r="G197" s="64" t="s">
        <v>15</v>
      </c>
      <c r="H197" s="66" t="n">
        <f aca="false">F197/INDEX(Valeurs!$B$2:$B$40,MATCH(E197,Valeurs!$A$2:$A$40,0))*INDEX(Valeurs!$D$2:$D$40,MATCH(E197,Valeurs!$A$2:$A$40,0))</f>
        <v>86.8</v>
      </c>
      <c r="I197" s="72" t="n">
        <f aca="false">F197/INDEX(Valeurs!$B$2:$B$40,MATCH(E197,Valeurs!$A$2:$A$40,0))*INDEX(Valeurs!$E$2:$E$40,MATCH(E197,Valeurs!$A$2:$A$40,0))</f>
        <v>5.04</v>
      </c>
      <c r="J197" s="64" t="n">
        <v>1</v>
      </c>
    </row>
    <row r="198" customFormat="false" ht="15" hidden="false" customHeight="false" outlineLevel="0" collapsed="false">
      <c r="A198" s="70" t="n">
        <v>46300</v>
      </c>
      <c r="B198" s="64" t="s">
        <v>23</v>
      </c>
      <c r="C198" s="64" t="s">
        <v>61</v>
      </c>
      <c r="D198" s="64" t="s">
        <v>6</v>
      </c>
      <c r="E198" s="64" t="s">
        <v>28</v>
      </c>
      <c r="F198" s="71" t="n">
        <f aca="false">Menu!D113</f>
        <v>10</v>
      </c>
      <c r="G198" s="64" t="s">
        <v>15</v>
      </c>
      <c r="H198" s="66" t="n">
        <f aca="false">F198/INDEX(Valeurs!$B$2:$B$40,MATCH(E198,Valeurs!$A$2:$A$40,0))*INDEX(Valeurs!$D$2:$D$40,MATCH(E198,Valeurs!$A$2:$A$40,0))</f>
        <v>90</v>
      </c>
      <c r="I198" s="72" t="n">
        <f aca="false">F198/INDEX(Valeurs!$B$2:$B$40,MATCH(E198,Valeurs!$A$2:$A$40,0))*INDEX(Valeurs!$E$2:$E$40,MATCH(E198,Valeurs!$A$2:$A$40,0))</f>
        <v>0</v>
      </c>
      <c r="J198" s="64" t="n">
        <v>1</v>
      </c>
    </row>
    <row r="199" customFormat="false" ht="15" hidden="false" customHeight="false" outlineLevel="0" collapsed="false">
      <c r="A199" s="70" t="n">
        <v>46300</v>
      </c>
      <c r="B199" s="64" t="s">
        <v>23</v>
      </c>
      <c r="C199" s="64" t="s">
        <v>61</v>
      </c>
      <c r="D199" s="64" t="s">
        <v>7</v>
      </c>
      <c r="E199" s="64" t="s">
        <v>28</v>
      </c>
      <c r="F199" s="71" t="n">
        <f aca="false">Menu!E113</f>
        <v>7</v>
      </c>
      <c r="G199" s="64" t="s">
        <v>15</v>
      </c>
      <c r="H199" s="66" t="n">
        <f aca="false">F199/INDEX(Valeurs!$B$2:$B$40,MATCH(E199,Valeurs!$A$2:$A$40,0))*INDEX(Valeurs!$D$2:$D$40,MATCH(E199,Valeurs!$A$2:$A$40,0))</f>
        <v>63</v>
      </c>
      <c r="I199" s="72" t="n">
        <f aca="false">F199/INDEX(Valeurs!$B$2:$B$40,MATCH(E199,Valeurs!$A$2:$A$40,0))*INDEX(Valeurs!$E$2:$E$40,MATCH(E199,Valeurs!$A$2:$A$40,0))</f>
        <v>0</v>
      </c>
      <c r="J199" s="64" t="n">
        <v>1</v>
      </c>
    </row>
    <row r="200" customFormat="false" ht="15" hidden="false" customHeight="false" outlineLevel="0" collapsed="false">
      <c r="A200" s="70" t="n">
        <v>46300</v>
      </c>
      <c r="B200" s="64" t="s">
        <v>29</v>
      </c>
      <c r="C200" s="64" t="s">
        <v>62</v>
      </c>
      <c r="D200" s="64" t="s">
        <v>6</v>
      </c>
      <c r="E200" s="64" t="s">
        <v>25</v>
      </c>
      <c r="F200" s="71" t="n">
        <f aca="false">Menu!D114</f>
        <v>130</v>
      </c>
      <c r="G200" s="64" t="s">
        <v>15</v>
      </c>
      <c r="H200" s="66" t="n">
        <f aca="false">F200/INDEX(Valeurs!$B$2:$B$40,MATCH(E200,Valeurs!$A$2:$A$40,0))*INDEX(Valeurs!$D$2:$D$40,MATCH(E200,Valeurs!$A$2:$A$40,0))</f>
        <v>149.5</v>
      </c>
      <c r="I200" s="72" t="n">
        <f aca="false">F200/INDEX(Valeurs!$B$2:$B$40,MATCH(E200,Valeurs!$A$2:$A$40,0))*INDEX(Valeurs!$E$2:$E$40,MATCH(E200,Valeurs!$A$2:$A$40,0))</f>
        <v>29.9</v>
      </c>
      <c r="J200" s="64" t="n">
        <v>1</v>
      </c>
    </row>
    <row r="201" customFormat="false" ht="15" hidden="false" customHeight="false" outlineLevel="0" collapsed="false">
      <c r="A201" s="70" t="n">
        <v>46300</v>
      </c>
      <c r="B201" s="64" t="s">
        <v>29</v>
      </c>
      <c r="C201" s="64" t="s">
        <v>62</v>
      </c>
      <c r="D201" s="64" t="s">
        <v>7</v>
      </c>
      <c r="E201" s="64" t="s">
        <v>25</v>
      </c>
      <c r="F201" s="71" t="n">
        <f aca="false">Menu!E114</f>
        <v>100</v>
      </c>
      <c r="G201" s="64" t="s">
        <v>15</v>
      </c>
      <c r="H201" s="66" t="n">
        <f aca="false">F201/INDEX(Valeurs!$B$2:$B$40,MATCH(E201,Valeurs!$A$2:$A$40,0))*INDEX(Valeurs!$D$2:$D$40,MATCH(E201,Valeurs!$A$2:$A$40,0))</f>
        <v>115</v>
      </c>
      <c r="I201" s="72" t="n">
        <f aca="false">F201/INDEX(Valeurs!$B$2:$B$40,MATCH(E201,Valeurs!$A$2:$A$40,0))*INDEX(Valeurs!$E$2:$E$40,MATCH(E201,Valeurs!$A$2:$A$40,0))</f>
        <v>23</v>
      </c>
      <c r="J201" s="64" t="n">
        <v>1</v>
      </c>
    </row>
    <row r="202" customFormat="false" ht="15" hidden="false" customHeight="false" outlineLevel="0" collapsed="false">
      <c r="A202" s="70" t="n">
        <v>46300</v>
      </c>
      <c r="B202" s="64" t="s">
        <v>29</v>
      </c>
      <c r="C202" s="64" t="s">
        <v>62</v>
      </c>
      <c r="D202" s="64" t="s">
        <v>6</v>
      </c>
      <c r="E202" s="64" t="s">
        <v>57</v>
      </c>
      <c r="F202" s="71" t="n">
        <f aca="false">Menu!D115</f>
        <v>80</v>
      </c>
      <c r="G202" s="64" t="s">
        <v>15</v>
      </c>
      <c r="H202" s="66" t="n">
        <f aca="false">F202/INDEX(Valeurs!$B$2:$B$40,MATCH(E202,Valeurs!$A$2:$A$40,0))*INDEX(Valeurs!$D$2:$D$40,MATCH(E202,Valeurs!$A$2:$A$40,0))</f>
        <v>128</v>
      </c>
      <c r="I202" s="72" t="n">
        <f aca="false">F202/INDEX(Valeurs!$B$2:$B$40,MATCH(E202,Valeurs!$A$2:$A$40,0))*INDEX(Valeurs!$E$2:$E$40,MATCH(E202,Valeurs!$A$2:$A$40,0))</f>
        <v>1.6</v>
      </c>
      <c r="J202" s="64" t="n">
        <v>1</v>
      </c>
    </row>
    <row r="203" customFormat="false" ht="15" hidden="false" customHeight="false" outlineLevel="0" collapsed="false">
      <c r="A203" s="70" t="n">
        <v>46300</v>
      </c>
      <c r="B203" s="64" t="s">
        <v>29</v>
      </c>
      <c r="C203" s="64" t="s">
        <v>62</v>
      </c>
      <c r="D203" s="64" t="s">
        <v>7</v>
      </c>
      <c r="E203" s="64" t="s">
        <v>57</v>
      </c>
      <c r="F203" s="71" t="n">
        <f aca="false">Menu!E115</f>
        <v>60</v>
      </c>
      <c r="G203" s="64" t="s">
        <v>15</v>
      </c>
      <c r="H203" s="66" t="n">
        <f aca="false">F203/INDEX(Valeurs!$B$2:$B$40,MATCH(E203,Valeurs!$A$2:$A$40,0))*INDEX(Valeurs!$D$2:$D$40,MATCH(E203,Valeurs!$A$2:$A$40,0))</f>
        <v>96</v>
      </c>
      <c r="I203" s="72" t="n">
        <f aca="false">F203/INDEX(Valeurs!$B$2:$B$40,MATCH(E203,Valeurs!$A$2:$A$40,0))*INDEX(Valeurs!$E$2:$E$40,MATCH(E203,Valeurs!$A$2:$A$40,0))</f>
        <v>1.2</v>
      </c>
      <c r="J203" s="64" t="n">
        <v>1</v>
      </c>
    </row>
    <row r="204" customFormat="false" ht="15" hidden="false" customHeight="false" outlineLevel="0" collapsed="false">
      <c r="A204" s="70" t="n">
        <v>46300</v>
      </c>
      <c r="B204" s="64" t="s">
        <v>29</v>
      </c>
      <c r="C204" s="64" t="s">
        <v>62</v>
      </c>
      <c r="D204" s="64" t="s">
        <v>6</v>
      </c>
      <c r="E204" s="64" t="s">
        <v>44</v>
      </c>
      <c r="F204" s="71" t="n">
        <f aca="false">Menu!D116</f>
        <v>100</v>
      </c>
      <c r="G204" s="64" t="s">
        <v>15</v>
      </c>
      <c r="H204" s="66" t="n">
        <f aca="false">F204/INDEX(Valeurs!$B$2:$B$40,MATCH(E204,Valeurs!$A$2:$A$40,0))*INDEX(Valeurs!$D$2:$D$40,MATCH(E204,Valeurs!$A$2:$A$40,0))</f>
        <v>41</v>
      </c>
      <c r="I204" s="72" t="n">
        <f aca="false">F204/INDEX(Valeurs!$B$2:$B$40,MATCH(E204,Valeurs!$A$2:$A$40,0))*INDEX(Valeurs!$E$2:$E$40,MATCH(E204,Valeurs!$A$2:$A$40,0))</f>
        <v>0.9</v>
      </c>
      <c r="J204" s="64" t="n">
        <v>1</v>
      </c>
    </row>
    <row r="205" customFormat="false" ht="15" hidden="false" customHeight="false" outlineLevel="0" collapsed="false">
      <c r="A205" s="70" t="n">
        <v>46300</v>
      </c>
      <c r="B205" s="64" t="s">
        <v>29</v>
      </c>
      <c r="C205" s="64" t="s">
        <v>62</v>
      </c>
      <c r="D205" s="64" t="s">
        <v>7</v>
      </c>
      <c r="E205" s="64" t="s">
        <v>44</v>
      </c>
      <c r="F205" s="71" t="n">
        <f aca="false">Menu!E116</f>
        <v>120</v>
      </c>
      <c r="G205" s="64" t="s">
        <v>15</v>
      </c>
      <c r="H205" s="66" t="n">
        <f aca="false">F205/INDEX(Valeurs!$B$2:$B$40,MATCH(E205,Valeurs!$A$2:$A$40,0))*INDEX(Valeurs!$D$2:$D$40,MATCH(E205,Valeurs!$A$2:$A$40,0))</f>
        <v>49.2</v>
      </c>
      <c r="I205" s="72" t="n">
        <f aca="false">F205/INDEX(Valeurs!$B$2:$B$40,MATCH(E205,Valeurs!$A$2:$A$40,0))*INDEX(Valeurs!$E$2:$E$40,MATCH(E205,Valeurs!$A$2:$A$40,0))</f>
        <v>1.08</v>
      </c>
      <c r="J205" s="64" t="n">
        <v>1</v>
      </c>
    </row>
    <row r="206" customFormat="false" ht="15" hidden="false" customHeight="false" outlineLevel="0" collapsed="false">
      <c r="A206" s="70" t="n">
        <v>46300</v>
      </c>
      <c r="B206" s="64" t="s">
        <v>29</v>
      </c>
      <c r="C206" s="64" t="s">
        <v>62</v>
      </c>
      <c r="D206" s="64" t="s">
        <v>6</v>
      </c>
      <c r="E206" s="64" t="s">
        <v>20</v>
      </c>
      <c r="F206" s="71" t="n">
        <f aca="false">Menu!D117</f>
        <v>80</v>
      </c>
      <c r="G206" s="64" t="s">
        <v>15</v>
      </c>
      <c r="H206" s="66" t="n">
        <f aca="false">F206/INDEX(Valeurs!$B$2:$B$40,MATCH(E206,Valeurs!$A$2:$A$40,0))*INDEX(Valeurs!$D$2:$D$40,MATCH(E206,Valeurs!$A$2:$A$40,0))</f>
        <v>14.4</v>
      </c>
      <c r="I206" s="72" t="n">
        <f aca="false">F206/INDEX(Valeurs!$B$2:$B$40,MATCH(E206,Valeurs!$A$2:$A$40,0))*INDEX(Valeurs!$E$2:$E$40,MATCH(E206,Valeurs!$A$2:$A$40,0))</f>
        <v>0.72</v>
      </c>
      <c r="J206" s="64" t="n">
        <v>1</v>
      </c>
    </row>
    <row r="207" customFormat="false" ht="15" hidden="false" customHeight="false" outlineLevel="0" collapsed="false">
      <c r="A207" s="70" t="n">
        <v>46300</v>
      </c>
      <c r="B207" s="64" t="s">
        <v>29</v>
      </c>
      <c r="C207" s="64" t="s">
        <v>62</v>
      </c>
      <c r="D207" s="64" t="s">
        <v>7</v>
      </c>
      <c r="E207" s="64" t="s">
        <v>20</v>
      </c>
      <c r="F207" s="71" t="n">
        <f aca="false">Menu!E117</f>
        <v>100</v>
      </c>
      <c r="G207" s="64" t="s">
        <v>15</v>
      </c>
      <c r="H207" s="66" t="n">
        <f aca="false">F207/INDEX(Valeurs!$B$2:$B$40,MATCH(E207,Valeurs!$A$2:$A$40,0))*INDEX(Valeurs!$D$2:$D$40,MATCH(E207,Valeurs!$A$2:$A$40,0))</f>
        <v>18</v>
      </c>
      <c r="I207" s="72" t="n">
        <f aca="false">F207/INDEX(Valeurs!$B$2:$B$40,MATCH(E207,Valeurs!$A$2:$A$40,0))*INDEX(Valeurs!$E$2:$E$40,MATCH(E207,Valeurs!$A$2:$A$40,0))</f>
        <v>0.9</v>
      </c>
      <c r="J207" s="64" t="n">
        <v>1</v>
      </c>
    </row>
    <row r="208" customFormat="false" ht="15" hidden="false" customHeight="false" outlineLevel="0" collapsed="false">
      <c r="A208" s="70" t="n">
        <v>46300</v>
      </c>
      <c r="B208" s="64" t="s">
        <v>29</v>
      </c>
      <c r="C208" s="64" t="s">
        <v>62</v>
      </c>
      <c r="D208" s="64" t="s">
        <v>6</v>
      </c>
      <c r="E208" s="64" t="s">
        <v>26</v>
      </c>
      <c r="F208" s="71" t="n">
        <f aca="false">Menu!D118</f>
        <v>240</v>
      </c>
      <c r="G208" s="64" t="s">
        <v>15</v>
      </c>
      <c r="H208" s="66" t="n">
        <f aca="false">F208/INDEX(Valeurs!$B$2:$B$40,MATCH(E208,Valeurs!$A$2:$A$40,0))*INDEX(Valeurs!$D$2:$D$40,MATCH(E208,Valeurs!$A$2:$A$40,0))</f>
        <v>192</v>
      </c>
      <c r="I208" s="72" t="n">
        <f aca="false">F208/INDEX(Valeurs!$B$2:$B$40,MATCH(E208,Valeurs!$A$2:$A$40,0))*INDEX(Valeurs!$E$2:$E$40,MATCH(E208,Valeurs!$A$2:$A$40,0))</f>
        <v>4.8</v>
      </c>
      <c r="J208" s="64" t="n">
        <v>1</v>
      </c>
    </row>
    <row r="209" customFormat="false" ht="15" hidden="false" customHeight="false" outlineLevel="0" collapsed="false">
      <c r="A209" s="70" t="n">
        <v>46300</v>
      </c>
      <c r="B209" s="64" t="s">
        <v>29</v>
      </c>
      <c r="C209" s="64" t="s">
        <v>62</v>
      </c>
      <c r="D209" s="64" t="s">
        <v>7</v>
      </c>
      <c r="E209" s="64" t="s">
        <v>26</v>
      </c>
      <c r="F209" s="71" t="n">
        <f aca="false">Menu!E118</f>
        <v>90</v>
      </c>
      <c r="G209" s="64" t="s">
        <v>15</v>
      </c>
      <c r="H209" s="66" t="n">
        <f aca="false">F209/INDEX(Valeurs!$B$2:$B$40,MATCH(E209,Valeurs!$A$2:$A$40,0))*INDEX(Valeurs!$D$2:$D$40,MATCH(E209,Valeurs!$A$2:$A$40,0))</f>
        <v>72</v>
      </c>
      <c r="I209" s="72" t="n">
        <f aca="false">F209/INDEX(Valeurs!$B$2:$B$40,MATCH(E209,Valeurs!$A$2:$A$40,0))*INDEX(Valeurs!$E$2:$E$40,MATCH(E209,Valeurs!$A$2:$A$40,0))</f>
        <v>1.8</v>
      </c>
      <c r="J209" s="64" t="n">
        <v>1</v>
      </c>
    </row>
    <row r="210" customFormat="false" ht="15" hidden="false" customHeight="false" outlineLevel="0" collapsed="false">
      <c r="A210" s="70" t="n">
        <v>46300</v>
      </c>
      <c r="B210" s="64" t="s">
        <v>29</v>
      </c>
      <c r="C210" s="64" t="s">
        <v>62</v>
      </c>
      <c r="D210" s="64" t="s">
        <v>6</v>
      </c>
      <c r="E210" s="64" t="s">
        <v>28</v>
      </c>
      <c r="F210" s="71" t="n">
        <f aca="false">Menu!D119</f>
        <v>8</v>
      </c>
      <c r="G210" s="64" t="s">
        <v>15</v>
      </c>
      <c r="H210" s="66" t="n">
        <f aca="false">F210/INDEX(Valeurs!$B$2:$B$40,MATCH(E210,Valeurs!$A$2:$A$40,0))*INDEX(Valeurs!$D$2:$D$40,MATCH(E210,Valeurs!$A$2:$A$40,0))</f>
        <v>72</v>
      </c>
      <c r="I210" s="72" t="n">
        <f aca="false">F210/INDEX(Valeurs!$B$2:$B$40,MATCH(E210,Valeurs!$A$2:$A$40,0))*INDEX(Valeurs!$E$2:$E$40,MATCH(E210,Valeurs!$A$2:$A$40,0))</f>
        <v>0</v>
      </c>
      <c r="J210" s="64" t="n">
        <v>1</v>
      </c>
    </row>
    <row r="211" customFormat="false" ht="15" hidden="false" customHeight="false" outlineLevel="0" collapsed="false">
      <c r="A211" s="70" t="n">
        <v>46300</v>
      </c>
      <c r="B211" s="64" t="s">
        <v>29</v>
      </c>
      <c r="C211" s="64" t="s">
        <v>62</v>
      </c>
      <c r="D211" s="64" t="s">
        <v>7</v>
      </c>
      <c r="E211" s="64" t="s">
        <v>28</v>
      </c>
      <c r="F211" s="71" t="n">
        <f aca="false">Menu!E119</f>
        <v>6</v>
      </c>
      <c r="G211" s="64" t="s">
        <v>15</v>
      </c>
      <c r="H211" s="66" t="n">
        <f aca="false">F211/INDEX(Valeurs!$B$2:$B$40,MATCH(E211,Valeurs!$A$2:$A$40,0))*INDEX(Valeurs!$D$2:$D$40,MATCH(E211,Valeurs!$A$2:$A$40,0))</f>
        <v>54</v>
      </c>
      <c r="I211" s="72" t="n">
        <f aca="false">F211/INDEX(Valeurs!$B$2:$B$40,MATCH(E211,Valeurs!$A$2:$A$40,0))*INDEX(Valeurs!$E$2:$E$40,MATCH(E211,Valeurs!$A$2:$A$40,0))</f>
        <v>0</v>
      </c>
      <c r="J211" s="64" t="n">
        <v>1</v>
      </c>
    </row>
    <row r="212" customFormat="false" ht="15" hidden="false" customHeight="false" outlineLevel="0" collapsed="false">
      <c r="A212" s="70" t="n">
        <v>46300</v>
      </c>
      <c r="B212" s="64" t="s">
        <v>36</v>
      </c>
      <c r="C212" s="64" t="s">
        <v>37</v>
      </c>
      <c r="D212" s="64" t="s">
        <v>6</v>
      </c>
      <c r="E212" s="64" t="s">
        <v>38</v>
      </c>
      <c r="F212" s="71" t="n">
        <f aca="false">Menu!D120</f>
        <v>125</v>
      </c>
      <c r="G212" s="64" t="s">
        <v>15</v>
      </c>
      <c r="H212" s="66" t="n">
        <f aca="false">F212/INDEX(Valeurs!$B$2:$B$40,MATCH(E212,Valeurs!$A$2:$A$40,0))*INDEX(Valeurs!$D$2:$D$40,MATCH(E212,Valeurs!$A$2:$A$40,0))</f>
        <v>75</v>
      </c>
      <c r="I212" s="72" t="n">
        <f aca="false">F212/INDEX(Valeurs!$B$2:$B$40,MATCH(E212,Valeurs!$A$2:$A$40,0))*INDEX(Valeurs!$E$2:$E$40,MATCH(E212,Valeurs!$A$2:$A$40,0))</f>
        <v>5.625</v>
      </c>
      <c r="J212" s="64" t="n">
        <v>1</v>
      </c>
    </row>
    <row r="213" customFormat="false" ht="15" hidden="false" customHeight="false" outlineLevel="0" collapsed="false">
      <c r="A213" s="70" t="n">
        <v>46300</v>
      </c>
      <c r="B213" s="64" t="s">
        <v>36</v>
      </c>
      <c r="C213" s="64" t="s">
        <v>37</v>
      </c>
      <c r="D213" s="64" t="s">
        <v>7</v>
      </c>
      <c r="E213" s="64" t="s">
        <v>38</v>
      </c>
      <c r="F213" s="71" t="n">
        <f aca="false">Menu!E120</f>
        <v>125</v>
      </c>
      <c r="G213" s="64" t="s">
        <v>15</v>
      </c>
      <c r="H213" s="66" t="n">
        <f aca="false">F213/INDEX(Valeurs!$B$2:$B$40,MATCH(E213,Valeurs!$A$2:$A$40,0))*INDEX(Valeurs!$D$2:$D$40,MATCH(E213,Valeurs!$A$2:$A$40,0))</f>
        <v>75</v>
      </c>
      <c r="I213" s="72" t="n">
        <f aca="false">F213/INDEX(Valeurs!$B$2:$B$40,MATCH(E213,Valeurs!$A$2:$A$40,0))*INDEX(Valeurs!$E$2:$E$40,MATCH(E213,Valeurs!$A$2:$A$40,0))</f>
        <v>5.625</v>
      </c>
      <c r="J213" s="64" t="n">
        <v>1</v>
      </c>
    </row>
    <row r="214" customFormat="false" ht="15" hidden="false" customHeight="false" outlineLevel="0" collapsed="false">
      <c r="A214" s="70" t="n">
        <v>46300</v>
      </c>
      <c r="B214" s="64" t="s">
        <v>36</v>
      </c>
      <c r="C214" s="64" t="s">
        <v>37</v>
      </c>
      <c r="D214" s="64" t="s">
        <v>6</v>
      </c>
      <c r="E214" s="64" t="s">
        <v>39</v>
      </c>
      <c r="F214" s="71" t="n">
        <f aca="false">Menu!D121</f>
        <v>10</v>
      </c>
      <c r="G214" s="64" t="s">
        <v>15</v>
      </c>
      <c r="H214" s="66" t="n">
        <f aca="false">F214/INDEX(Valeurs!$B$2:$B$40,MATCH(E214,Valeurs!$A$2:$A$40,0))*INDEX(Valeurs!$D$2:$D$40,MATCH(E214,Valeurs!$A$2:$A$40,0))</f>
        <v>58</v>
      </c>
      <c r="I214" s="72" t="n">
        <f aca="false">F214/INDEX(Valeurs!$B$2:$B$40,MATCH(E214,Valeurs!$A$2:$A$40,0))*INDEX(Valeurs!$E$2:$E$40,MATCH(E214,Valeurs!$A$2:$A$40,0))</f>
        <v>0.75</v>
      </c>
      <c r="J214" s="64" t="n">
        <v>1</v>
      </c>
    </row>
    <row r="215" customFormat="false" ht="15" hidden="false" customHeight="false" outlineLevel="0" collapsed="false">
      <c r="A215" s="70" t="n">
        <v>46300</v>
      </c>
      <c r="B215" s="64" t="s">
        <v>36</v>
      </c>
      <c r="C215" s="64" t="s">
        <v>37</v>
      </c>
      <c r="D215" s="64" t="s">
        <v>7</v>
      </c>
      <c r="E215" s="64" t="s">
        <v>39</v>
      </c>
      <c r="F215" s="71" t="n">
        <f aca="false">Menu!E121</f>
        <v>10</v>
      </c>
      <c r="G215" s="64" t="s">
        <v>15</v>
      </c>
      <c r="H215" s="66" t="n">
        <f aca="false">F215/INDEX(Valeurs!$B$2:$B$40,MATCH(E215,Valeurs!$A$2:$A$40,0))*INDEX(Valeurs!$D$2:$D$40,MATCH(E215,Valeurs!$A$2:$A$40,0))</f>
        <v>58</v>
      </c>
      <c r="I215" s="72" t="n">
        <f aca="false">F215/INDEX(Valeurs!$B$2:$B$40,MATCH(E215,Valeurs!$A$2:$A$40,0))*INDEX(Valeurs!$E$2:$E$40,MATCH(E215,Valeurs!$A$2:$A$40,0))</f>
        <v>0.75</v>
      </c>
      <c r="J215" s="64" t="n">
        <v>1</v>
      </c>
    </row>
    <row r="216" customFormat="false" ht="15" hidden="false" customHeight="false" outlineLevel="0" collapsed="false">
      <c r="A216" s="70" t="n">
        <v>46301</v>
      </c>
      <c r="B216" s="64" t="s">
        <v>10</v>
      </c>
      <c r="C216" s="64" t="s">
        <v>11</v>
      </c>
      <c r="D216" s="64" t="s">
        <v>6</v>
      </c>
      <c r="E216" s="64" t="s">
        <v>12</v>
      </c>
      <c r="F216" s="71" t="n">
        <f aca="false">Menu!D124</f>
        <v>250</v>
      </c>
      <c r="G216" s="64" t="s">
        <v>13</v>
      </c>
      <c r="H216" s="66" t="n">
        <f aca="false">F216/INDEX(Valeurs!$B$2:$B$40,MATCH(E216,Valeurs!$A$2:$A$40,0))*INDEX(Valeurs!$D$2:$D$40,MATCH(E216,Valeurs!$A$2:$A$40,0))</f>
        <v>115</v>
      </c>
      <c r="I216" s="72" t="n">
        <f aca="false">F216/INDEX(Valeurs!$B$2:$B$40,MATCH(E216,Valeurs!$A$2:$A$40,0))*INDEX(Valeurs!$E$2:$E$40,MATCH(E216,Valeurs!$A$2:$A$40,0))</f>
        <v>8.25</v>
      </c>
      <c r="J216" s="64" t="n">
        <v>2</v>
      </c>
    </row>
    <row r="217" customFormat="false" ht="15" hidden="false" customHeight="false" outlineLevel="0" collapsed="false">
      <c r="A217" s="70" t="n">
        <v>46301</v>
      </c>
      <c r="B217" s="64" t="s">
        <v>10</v>
      </c>
      <c r="C217" s="64" t="s">
        <v>11</v>
      </c>
      <c r="D217" s="64" t="s">
        <v>7</v>
      </c>
      <c r="E217" s="64" t="s">
        <v>12</v>
      </c>
      <c r="F217" s="71" t="n">
        <f aca="false">Menu!E124</f>
        <v>0</v>
      </c>
      <c r="G217" s="64" t="s">
        <v>13</v>
      </c>
      <c r="H217" s="66" t="n">
        <f aca="false">F217/INDEX(Valeurs!$B$2:$B$40,MATCH(E217,Valeurs!$A$2:$A$40,0))*INDEX(Valeurs!$D$2:$D$40,MATCH(E217,Valeurs!$A$2:$A$40,0))</f>
        <v>0</v>
      </c>
      <c r="I217" s="72" t="n">
        <f aca="false">F217/INDEX(Valeurs!$B$2:$B$40,MATCH(E217,Valeurs!$A$2:$A$40,0))*INDEX(Valeurs!$E$2:$E$40,MATCH(E217,Valeurs!$A$2:$A$40,0))</f>
        <v>0</v>
      </c>
      <c r="J217" s="64" t="n">
        <v>2</v>
      </c>
    </row>
    <row r="218" customFormat="false" ht="15" hidden="false" customHeight="false" outlineLevel="0" collapsed="false">
      <c r="A218" s="70" t="n">
        <v>46301</v>
      </c>
      <c r="B218" s="64" t="s">
        <v>10</v>
      </c>
      <c r="C218" s="64" t="s">
        <v>11</v>
      </c>
      <c r="D218" s="64" t="s">
        <v>6</v>
      </c>
      <c r="E218" s="64" t="s">
        <v>14</v>
      </c>
      <c r="F218" s="71" t="n">
        <f aca="false">Menu!D125</f>
        <v>100</v>
      </c>
      <c r="G218" s="64" t="s">
        <v>15</v>
      </c>
      <c r="H218" s="66" t="n">
        <f aca="false">F218/INDEX(Valeurs!$B$2:$B$40,MATCH(E218,Valeurs!$A$2:$A$40,0))*INDEX(Valeurs!$D$2:$D$40,MATCH(E218,Valeurs!$A$2:$A$40,0))</f>
        <v>90</v>
      </c>
      <c r="I218" s="72" t="n">
        <f aca="false">F218/INDEX(Valeurs!$B$2:$B$40,MATCH(E218,Valeurs!$A$2:$A$40,0))*INDEX(Valeurs!$E$2:$E$40,MATCH(E218,Valeurs!$A$2:$A$40,0))</f>
        <v>1.1</v>
      </c>
      <c r="J218" s="64" t="n">
        <v>2</v>
      </c>
    </row>
    <row r="219" customFormat="false" ht="15" hidden="false" customHeight="false" outlineLevel="0" collapsed="false">
      <c r="A219" s="70" t="n">
        <v>46301</v>
      </c>
      <c r="B219" s="64" t="s">
        <v>10</v>
      </c>
      <c r="C219" s="64" t="s">
        <v>11</v>
      </c>
      <c r="D219" s="64" t="s">
        <v>7</v>
      </c>
      <c r="E219" s="64" t="s">
        <v>14</v>
      </c>
      <c r="F219" s="71" t="n">
        <f aca="false">Menu!E125</f>
        <v>0</v>
      </c>
      <c r="G219" s="64" t="s">
        <v>15</v>
      </c>
      <c r="H219" s="66" t="n">
        <f aca="false">F219/INDEX(Valeurs!$B$2:$B$40,MATCH(E219,Valeurs!$A$2:$A$40,0))*INDEX(Valeurs!$D$2:$D$40,MATCH(E219,Valeurs!$A$2:$A$40,0))</f>
        <v>0</v>
      </c>
      <c r="I219" s="72" t="n">
        <f aca="false">F219/INDEX(Valeurs!$B$2:$B$40,MATCH(E219,Valeurs!$A$2:$A$40,0))*INDEX(Valeurs!$E$2:$E$40,MATCH(E219,Valeurs!$A$2:$A$40,0))</f>
        <v>0</v>
      </c>
      <c r="J219" s="64" t="n">
        <v>2</v>
      </c>
    </row>
    <row r="220" customFormat="false" ht="15" hidden="false" customHeight="false" outlineLevel="0" collapsed="false">
      <c r="A220" s="70" t="n">
        <v>46301</v>
      </c>
      <c r="B220" s="64" t="s">
        <v>10</v>
      </c>
      <c r="C220" s="64" t="s">
        <v>11</v>
      </c>
      <c r="D220" s="64" t="s">
        <v>6</v>
      </c>
      <c r="E220" s="64" t="s">
        <v>16</v>
      </c>
      <c r="F220" s="71" t="n">
        <f aca="false">Menu!D126</f>
        <v>65</v>
      </c>
      <c r="G220" s="64" t="s">
        <v>15</v>
      </c>
      <c r="H220" s="66" t="n">
        <f aca="false">F220/INDEX(Valeurs!$B$2:$B$40,MATCH(E220,Valeurs!$A$2:$A$40,0))*INDEX(Valeurs!$D$2:$D$40,MATCH(E220,Valeurs!$A$2:$A$40,0))</f>
        <v>241.8</v>
      </c>
      <c r="I220" s="72" t="n">
        <f aca="false">F220/INDEX(Valeurs!$B$2:$B$40,MATCH(E220,Valeurs!$A$2:$A$40,0))*INDEX(Valeurs!$E$2:$E$40,MATCH(E220,Valeurs!$A$2:$A$40,0))</f>
        <v>8.775</v>
      </c>
      <c r="J220" s="64" t="n">
        <v>2</v>
      </c>
    </row>
    <row r="221" customFormat="false" ht="15" hidden="false" customHeight="false" outlineLevel="0" collapsed="false">
      <c r="A221" s="70" t="n">
        <v>46301</v>
      </c>
      <c r="B221" s="64" t="s">
        <v>10</v>
      </c>
      <c r="C221" s="64" t="s">
        <v>11</v>
      </c>
      <c r="D221" s="64" t="s">
        <v>7</v>
      </c>
      <c r="E221" s="64" t="s">
        <v>16</v>
      </c>
      <c r="F221" s="71" t="n">
        <f aca="false">Menu!E126</f>
        <v>0</v>
      </c>
      <c r="G221" s="64" t="s">
        <v>15</v>
      </c>
      <c r="H221" s="66" t="n">
        <f aca="false">F221/INDEX(Valeurs!$B$2:$B$40,MATCH(E221,Valeurs!$A$2:$A$40,0))*INDEX(Valeurs!$D$2:$D$40,MATCH(E221,Valeurs!$A$2:$A$40,0))</f>
        <v>0</v>
      </c>
      <c r="I221" s="72" t="n">
        <f aca="false">F221/INDEX(Valeurs!$B$2:$B$40,MATCH(E221,Valeurs!$A$2:$A$40,0))*INDEX(Valeurs!$E$2:$E$40,MATCH(E221,Valeurs!$A$2:$A$40,0))</f>
        <v>0</v>
      </c>
      <c r="J221" s="64" t="n">
        <v>2</v>
      </c>
    </row>
    <row r="222" customFormat="false" ht="15" hidden="false" customHeight="false" outlineLevel="0" collapsed="false">
      <c r="A222" s="70" t="n">
        <v>46301</v>
      </c>
      <c r="B222" s="64" t="s">
        <v>10</v>
      </c>
      <c r="C222" s="64" t="s">
        <v>11</v>
      </c>
      <c r="D222" s="64" t="s">
        <v>6</v>
      </c>
      <c r="E222" s="64" t="s">
        <v>17</v>
      </c>
      <c r="F222" s="71" t="n">
        <f aca="false">Menu!D127</f>
        <v>1</v>
      </c>
      <c r="G222" s="64" t="s">
        <v>171</v>
      </c>
      <c r="H222" s="66" t="n">
        <f aca="false">F222/INDEX(Valeurs!$B$2:$B$40,MATCH(E222,Valeurs!$A$2:$A$40,0))*INDEX(Valeurs!$D$2:$D$40,MATCH(E222,Valeurs!$A$2:$A$40,0))</f>
        <v>87</v>
      </c>
      <c r="I222" s="72" t="n">
        <f aca="false">F222/INDEX(Valeurs!$B$2:$B$40,MATCH(E222,Valeurs!$A$2:$A$40,0))*INDEX(Valeurs!$E$2:$E$40,MATCH(E222,Valeurs!$A$2:$A$40,0))</f>
        <v>7.5</v>
      </c>
      <c r="J222" s="64" t="n">
        <v>2</v>
      </c>
    </row>
    <row r="223" customFormat="false" ht="15" hidden="false" customHeight="false" outlineLevel="0" collapsed="false">
      <c r="A223" s="70" t="n">
        <v>46301</v>
      </c>
      <c r="B223" s="64" t="s">
        <v>10</v>
      </c>
      <c r="C223" s="64" t="s">
        <v>11</v>
      </c>
      <c r="D223" s="64" t="s">
        <v>7</v>
      </c>
      <c r="E223" s="64" t="s">
        <v>17</v>
      </c>
      <c r="F223" s="71" t="n">
        <f aca="false">Menu!E127</f>
        <v>2</v>
      </c>
      <c r="G223" s="64" t="s">
        <v>171</v>
      </c>
      <c r="H223" s="66" t="n">
        <f aca="false">F223/INDEX(Valeurs!$B$2:$B$40,MATCH(E223,Valeurs!$A$2:$A$40,0))*INDEX(Valeurs!$D$2:$D$40,MATCH(E223,Valeurs!$A$2:$A$40,0))</f>
        <v>174</v>
      </c>
      <c r="I223" s="72" t="n">
        <f aca="false">F223/INDEX(Valeurs!$B$2:$B$40,MATCH(E223,Valeurs!$A$2:$A$40,0))*INDEX(Valeurs!$E$2:$E$40,MATCH(E223,Valeurs!$A$2:$A$40,0))</f>
        <v>15</v>
      </c>
      <c r="J223" s="64" t="n">
        <v>2</v>
      </c>
    </row>
    <row r="224" customFormat="false" ht="15" hidden="false" customHeight="false" outlineLevel="0" collapsed="false">
      <c r="A224" s="70" t="n">
        <v>46301</v>
      </c>
      <c r="B224" s="64" t="s">
        <v>10</v>
      </c>
      <c r="C224" s="64" t="s">
        <v>11</v>
      </c>
      <c r="D224" s="64" t="s">
        <v>6</v>
      </c>
      <c r="E224" s="64" t="s">
        <v>19</v>
      </c>
      <c r="F224" s="71" t="n">
        <f aca="false">Menu!D128</f>
        <v>0</v>
      </c>
      <c r="G224" s="64" t="s">
        <v>15</v>
      </c>
      <c r="H224" s="66" t="n">
        <f aca="false">F224/INDEX(Valeurs!$B$2:$B$40,MATCH(E224,Valeurs!$A$2:$A$40,0))*INDEX(Valeurs!$D$2:$D$40,MATCH(E224,Valeurs!$A$2:$A$40,0))</f>
        <v>0</v>
      </c>
      <c r="I224" s="72" t="n">
        <f aca="false">F224/INDEX(Valeurs!$B$2:$B$40,MATCH(E224,Valeurs!$A$2:$A$40,0))*INDEX(Valeurs!$E$2:$E$40,MATCH(E224,Valeurs!$A$2:$A$40,0))</f>
        <v>0</v>
      </c>
      <c r="J224" s="64" t="n">
        <v>2</v>
      </c>
    </row>
    <row r="225" customFormat="false" ht="15" hidden="false" customHeight="false" outlineLevel="0" collapsed="false">
      <c r="A225" s="70" t="n">
        <v>46301</v>
      </c>
      <c r="B225" s="64" t="s">
        <v>10</v>
      </c>
      <c r="C225" s="64" t="s">
        <v>11</v>
      </c>
      <c r="D225" s="64" t="s">
        <v>7</v>
      </c>
      <c r="E225" s="64" t="s">
        <v>19</v>
      </c>
      <c r="F225" s="71" t="n">
        <f aca="false">Menu!E128</f>
        <v>30</v>
      </c>
      <c r="G225" s="64" t="s">
        <v>15</v>
      </c>
      <c r="H225" s="66" t="n">
        <f aca="false">F225/INDEX(Valeurs!$B$2:$B$40,MATCH(E225,Valeurs!$A$2:$A$40,0))*INDEX(Valeurs!$D$2:$D$40,MATCH(E225,Valeurs!$A$2:$A$40,0))</f>
        <v>33</v>
      </c>
      <c r="I225" s="72" t="n">
        <f aca="false">F225/INDEX(Valeurs!$B$2:$B$40,MATCH(E225,Valeurs!$A$2:$A$40,0))*INDEX(Valeurs!$E$2:$E$40,MATCH(E225,Valeurs!$A$2:$A$40,0))</f>
        <v>6</v>
      </c>
      <c r="J225" s="64" t="n">
        <v>2</v>
      </c>
    </row>
    <row r="226" customFormat="false" ht="15" hidden="false" customHeight="false" outlineLevel="0" collapsed="false">
      <c r="A226" s="70" t="n">
        <v>46301</v>
      </c>
      <c r="B226" s="64" t="s">
        <v>10</v>
      </c>
      <c r="C226" s="64" t="s">
        <v>11</v>
      </c>
      <c r="D226" s="64" t="s">
        <v>6</v>
      </c>
      <c r="E226" s="64" t="s">
        <v>20</v>
      </c>
      <c r="F226" s="71" t="n">
        <f aca="false">Menu!D129</f>
        <v>0</v>
      </c>
      <c r="G226" s="64" t="s">
        <v>15</v>
      </c>
      <c r="H226" s="66" t="n">
        <f aca="false">F226/INDEX(Valeurs!$B$2:$B$40,MATCH(E226,Valeurs!$A$2:$A$40,0))*INDEX(Valeurs!$D$2:$D$40,MATCH(E226,Valeurs!$A$2:$A$40,0))</f>
        <v>0</v>
      </c>
      <c r="I226" s="72" t="n">
        <f aca="false">F226/INDEX(Valeurs!$B$2:$B$40,MATCH(E226,Valeurs!$A$2:$A$40,0))*INDEX(Valeurs!$E$2:$E$40,MATCH(E226,Valeurs!$A$2:$A$40,0))</f>
        <v>0</v>
      </c>
      <c r="J226" s="64" t="n">
        <v>2</v>
      </c>
    </row>
    <row r="227" customFormat="false" ht="15" hidden="false" customHeight="false" outlineLevel="0" collapsed="false">
      <c r="A227" s="70" t="n">
        <v>46301</v>
      </c>
      <c r="B227" s="64" t="s">
        <v>10</v>
      </c>
      <c r="C227" s="64" t="s">
        <v>11</v>
      </c>
      <c r="D227" s="64" t="s">
        <v>7</v>
      </c>
      <c r="E227" s="64" t="s">
        <v>20</v>
      </c>
      <c r="F227" s="71" t="n">
        <f aca="false">Menu!E129</f>
        <v>80</v>
      </c>
      <c r="G227" s="64" t="s">
        <v>15</v>
      </c>
      <c r="H227" s="66" t="n">
        <f aca="false">F227/INDEX(Valeurs!$B$2:$B$40,MATCH(E227,Valeurs!$A$2:$A$40,0))*INDEX(Valeurs!$D$2:$D$40,MATCH(E227,Valeurs!$A$2:$A$40,0))</f>
        <v>14.4</v>
      </c>
      <c r="I227" s="72" t="n">
        <f aca="false">F227/INDEX(Valeurs!$B$2:$B$40,MATCH(E227,Valeurs!$A$2:$A$40,0))*INDEX(Valeurs!$E$2:$E$40,MATCH(E227,Valeurs!$A$2:$A$40,0))</f>
        <v>0.72</v>
      </c>
      <c r="J227" s="64" t="n">
        <v>2</v>
      </c>
    </row>
    <row r="228" customFormat="false" ht="15" hidden="false" customHeight="false" outlineLevel="0" collapsed="false">
      <c r="A228" s="70" t="n">
        <v>46301</v>
      </c>
      <c r="B228" s="64" t="s">
        <v>10</v>
      </c>
      <c r="C228" s="64" t="s">
        <v>11</v>
      </c>
      <c r="D228" s="64" t="s">
        <v>6</v>
      </c>
      <c r="E228" s="64" t="s">
        <v>21</v>
      </c>
      <c r="F228" s="71" t="n">
        <f aca="false">Menu!D130</f>
        <v>0</v>
      </c>
      <c r="G228" s="64" t="s">
        <v>15</v>
      </c>
      <c r="H228" s="66" t="n">
        <f aca="false">F228/INDEX(Valeurs!$B$2:$B$40,MATCH(E228,Valeurs!$A$2:$A$40,0))*INDEX(Valeurs!$D$2:$D$40,MATCH(E228,Valeurs!$A$2:$A$40,0))</f>
        <v>0</v>
      </c>
      <c r="I228" s="72" t="n">
        <f aca="false">F228/INDEX(Valeurs!$B$2:$B$40,MATCH(E228,Valeurs!$A$2:$A$40,0))*INDEX(Valeurs!$E$2:$E$40,MATCH(E228,Valeurs!$A$2:$A$40,0))</f>
        <v>0</v>
      </c>
      <c r="J228" s="64" t="n">
        <v>2</v>
      </c>
    </row>
    <row r="229" customFormat="false" ht="15" hidden="false" customHeight="false" outlineLevel="0" collapsed="false">
      <c r="A229" s="70" t="n">
        <v>46301</v>
      </c>
      <c r="B229" s="64" t="s">
        <v>10</v>
      </c>
      <c r="C229" s="64" t="s">
        <v>11</v>
      </c>
      <c r="D229" s="64" t="s">
        <v>7</v>
      </c>
      <c r="E229" s="64" t="s">
        <v>21</v>
      </c>
      <c r="F229" s="71" t="n">
        <f aca="false">Menu!E130</f>
        <v>40</v>
      </c>
      <c r="G229" s="64" t="s">
        <v>15</v>
      </c>
      <c r="H229" s="66" t="n">
        <f aca="false">F229/INDEX(Valeurs!$B$2:$B$40,MATCH(E229,Valeurs!$A$2:$A$40,0))*INDEX(Valeurs!$D$2:$D$40,MATCH(E229,Valeurs!$A$2:$A$40,0))</f>
        <v>96</v>
      </c>
      <c r="I229" s="72" t="n">
        <f aca="false">F229/INDEX(Valeurs!$B$2:$B$40,MATCH(E229,Valeurs!$A$2:$A$40,0))*INDEX(Valeurs!$E$2:$E$40,MATCH(E229,Valeurs!$A$2:$A$40,0))</f>
        <v>3.6</v>
      </c>
      <c r="J229" s="64" t="n">
        <v>2</v>
      </c>
    </row>
    <row r="230" customFormat="false" ht="15" hidden="false" customHeight="false" outlineLevel="0" collapsed="false">
      <c r="A230" s="70" t="n">
        <v>46301</v>
      </c>
      <c r="B230" s="64" t="s">
        <v>10</v>
      </c>
      <c r="C230" s="64" t="s">
        <v>11</v>
      </c>
      <c r="D230" s="64" t="s">
        <v>6</v>
      </c>
      <c r="E230" s="64" t="s">
        <v>22</v>
      </c>
      <c r="F230" s="71" t="n">
        <f aca="false">Menu!D131</f>
        <v>0</v>
      </c>
      <c r="G230" s="64" t="s">
        <v>15</v>
      </c>
      <c r="H230" s="66" t="n">
        <f aca="false">F230/INDEX(Valeurs!$B$2:$B$40,MATCH(E230,Valeurs!$A$2:$A$40,0))*INDEX(Valeurs!$D$2:$D$40,MATCH(E230,Valeurs!$A$2:$A$40,0))</f>
        <v>0</v>
      </c>
      <c r="I230" s="72" t="n">
        <f aca="false">F230/INDEX(Valeurs!$B$2:$B$40,MATCH(E230,Valeurs!$A$2:$A$40,0))*INDEX(Valeurs!$E$2:$E$40,MATCH(E230,Valeurs!$A$2:$A$40,0))</f>
        <v>0</v>
      </c>
      <c r="J230" s="64" t="n">
        <v>2</v>
      </c>
    </row>
    <row r="231" customFormat="false" ht="15" hidden="false" customHeight="false" outlineLevel="0" collapsed="false">
      <c r="A231" s="70" t="n">
        <v>46301</v>
      </c>
      <c r="B231" s="64" t="s">
        <v>10</v>
      </c>
      <c r="C231" s="64" t="s">
        <v>11</v>
      </c>
      <c r="D231" s="64" t="s">
        <v>7</v>
      </c>
      <c r="E231" s="64" t="s">
        <v>22</v>
      </c>
      <c r="F231" s="71" t="n">
        <f aca="false">Menu!E131</f>
        <v>150</v>
      </c>
      <c r="G231" s="64" t="s">
        <v>15</v>
      </c>
      <c r="H231" s="66" t="n">
        <f aca="false">F231/INDEX(Valeurs!$B$2:$B$40,MATCH(E231,Valeurs!$A$2:$A$40,0))*INDEX(Valeurs!$D$2:$D$40,MATCH(E231,Valeurs!$A$2:$A$40,0))</f>
        <v>78</v>
      </c>
      <c r="I231" s="72" t="n">
        <f aca="false">F231/INDEX(Valeurs!$B$2:$B$40,MATCH(E231,Valeurs!$A$2:$A$40,0))*INDEX(Valeurs!$E$2:$E$40,MATCH(E231,Valeurs!$A$2:$A$40,0))</f>
        <v>0.45</v>
      </c>
      <c r="J231" s="64" t="n">
        <v>2</v>
      </c>
    </row>
    <row r="232" customFormat="false" ht="15" hidden="false" customHeight="false" outlineLevel="0" collapsed="false">
      <c r="A232" s="70" t="n">
        <v>46301</v>
      </c>
      <c r="B232" s="64" t="s">
        <v>23</v>
      </c>
      <c r="C232" s="64" t="s">
        <v>64</v>
      </c>
      <c r="D232" s="64" t="s">
        <v>6</v>
      </c>
      <c r="E232" s="64" t="s">
        <v>25</v>
      </c>
      <c r="F232" s="71" t="n">
        <f aca="false">Menu!D132</f>
        <v>150</v>
      </c>
      <c r="G232" s="64" t="s">
        <v>15</v>
      </c>
      <c r="H232" s="66" t="n">
        <f aca="false">F232/INDEX(Valeurs!$B$2:$B$40,MATCH(E232,Valeurs!$A$2:$A$40,0))*INDEX(Valeurs!$D$2:$D$40,MATCH(E232,Valeurs!$A$2:$A$40,0))</f>
        <v>172.5</v>
      </c>
      <c r="I232" s="72" t="n">
        <f aca="false">F232/INDEX(Valeurs!$B$2:$B$40,MATCH(E232,Valeurs!$A$2:$A$40,0))*INDEX(Valeurs!$E$2:$E$40,MATCH(E232,Valeurs!$A$2:$A$40,0))</f>
        <v>34.5</v>
      </c>
      <c r="J232" s="64" t="n">
        <v>2</v>
      </c>
    </row>
    <row r="233" customFormat="false" ht="15" hidden="false" customHeight="false" outlineLevel="0" collapsed="false">
      <c r="A233" s="70" t="n">
        <v>46301</v>
      </c>
      <c r="B233" s="64" t="s">
        <v>23</v>
      </c>
      <c r="C233" s="64" t="s">
        <v>64</v>
      </c>
      <c r="D233" s="64" t="s">
        <v>7</v>
      </c>
      <c r="E233" s="64" t="s">
        <v>25</v>
      </c>
      <c r="F233" s="71" t="n">
        <f aca="false">Menu!E132</f>
        <v>120</v>
      </c>
      <c r="G233" s="64" t="s">
        <v>15</v>
      </c>
      <c r="H233" s="66" t="n">
        <f aca="false">F233/INDEX(Valeurs!$B$2:$B$40,MATCH(E233,Valeurs!$A$2:$A$40,0))*INDEX(Valeurs!$D$2:$D$40,MATCH(E233,Valeurs!$A$2:$A$40,0))</f>
        <v>138</v>
      </c>
      <c r="I233" s="72" t="n">
        <f aca="false">F233/INDEX(Valeurs!$B$2:$B$40,MATCH(E233,Valeurs!$A$2:$A$40,0))*INDEX(Valeurs!$E$2:$E$40,MATCH(E233,Valeurs!$A$2:$A$40,0))</f>
        <v>27.6</v>
      </c>
      <c r="J233" s="64" t="n">
        <v>2</v>
      </c>
    </row>
    <row r="234" customFormat="false" ht="15" hidden="false" customHeight="false" outlineLevel="0" collapsed="false">
      <c r="A234" s="70" t="n">
        <v>46301</v>
      </c>
      <c r="B234" s="64" t="s">
        <v>23</v>
      </c>
      <c r="C234" s="64" t="s">
        <v>64</v>
      </c>
      <c r="D234" s="64" t="s">
        <v>6</v>
      </c>
      <c r="E234" s="64" t="s">
        <v>34</v>
      </c>
      <c r="F234" s="71" t="n">
        <f aca="false">Menu!D133</f>
        <v>70</v>
      </c>
      <c r="G234" s="64" t="s">
        <v>15</v>
      </c>
      <c r="H234" s="66" t="n">
        <f aca="false">F234/INDEX(Valeurs!$B$2:$B$40,MATCH(E234,Valeurs!$A$2:$A$40,0))*INDEX(Valeurs!$D$2:$D$40,MATCH(E234,Valeurs!$A$2:$A$40,0))</f>
        <v>18.9</v>
      </c>
      <c r="I234" s="72" t="n">
        <f aca="false">F234/INDEX(Valeurs!$B$2:$B$40,MATCH(E234,Valeurs!$A$2:$A$40,0))*INDEX(Valeurs!$E$2:$E$40,MATCH(E234,Valeurs!$A$2:$A$40,0))</f>
        <v>0.7</v>
      </c>
      <c r="J234" s="64" t="n">
        <v>2</v>
      </c>
    </row>
    <row r="235" customFormat="false" ht="15" hidden="false" customHeight="false" outlineLevel="0" collapsed="false">
      <c r="A235" s="70" t="n">
        <v>46301</v>
      </c>
      <c r="B235" s="64" t="s">
        <v>23</v>
      </c>
      <c r="C235" s="64" t="s">
        <v>64</v>
      </c>
      <c r="D235" s="64" t="s">
        <v>7</v>
      </c>
      <c r="E235" s="64" t="s">
        <v>34</v>
      </c>
      <c r="F235" s="71" t="n">
        <f aca="false">Menu!E133</f>
        <v>90</v>
      </c>
      <c r="G235" s="64" t="s">
        <v>15</v>
      </c>
      <c r="H235" s="66" t="n">
        <f aca="false">F235/INDEX(Valeurs!$B$2:$B$40,MATCH(E235,Valeurs!$A$2:$A$40,0))*INDEX(Valeurs!$D$2:$D$40,MATCH(E235,Valeurs!$A$2:$A$40,0))</f>
        <v>24.3</v>
      </c>
      <c r="I235" s="72" t="n">
        <f aca="false">F235/INDEX(Valeurs!$B$2:$B$40,MATCH(E235,Valeurs!$A$2:$A$40,0))*INDEX(Valeurs!$E$2:$E$40,MATCH(E235,Valeurs!$A$2:$A$40,0))</f>
        <v>0.9</v>
      </c>
      <c r="J235" s="64" t="n">
        <v>2</v>
      </c>
    </row>
    <row r="236" customFormat="false" ht="15" hidden="false" customHeight="false" outlineLevel="0" collapsed="false">
      <c r="A236" s="70" t="n">
        <v>46301</v>
      </c>
      <c r="B236" s="64" t="s">
        <v>23</v>
      </c>
      <c r="C236" s="64" t="s">
        <v>64</v>
      </c>
      <c r="D236" s="64" t="s">
        <v>6</v>
      </c>
      <c r="E236" s="64" t="s">
        <v>20</v>
      </c>
      <c r="F236" s="71" t="n">
        <f aca="false">Menu!D134</f>
        <v>120</v>
      </c>
      <c r="G236" s="64" t="s">
        <v>15</v>
      </c>
      <c r="H236" s="66" t="n">
        <f aca="false">F236/INDEX(Valeurs!$B$2:$B$40,MATCH(E236,Valeurs!$A$2:$A$40,0))*INDEX(Valeurs!$D$2:$D$40,MATCH(E236,Valeurs!$A$2:$A$40,0))</f>
        <v>21.6</v>
      </c>
      <c r="I236" s="72" t="n">
        <f aca="false">F236/INDEX(Valeurs!$B$2:$B$40,MATCH(E236,Valeurs!$A$2:$A$40,0))*INDEX(Valeurs!$E$2:$E$40,MATCH(E236,Valeurs!$A$2:$A$40,0))</f>
        <v>1.08</v>
      </c>
      <c r="J236" s="64" t="n">
        <v>2</v>
      </c>
    </row>
    <row r="237" customFormat="false" ht="15" hidden="false" customHeight="false" outlineLevel="0" collapsed="false">
      <c r="A237" s="70" t="n">
        <v>46301</v>
      </c>
      <c r="B237" s="64" t="s">
        <v>23</v>
      </c>
      <c r="C237" s="64" t="s">
        <v>64</v>
      </c>
      <c r="D237" s="64" t="s">
        <v>7</v>
      </c>
      <c r="E237" s="64" t="s">
        <v>20</v>
      </c>
      <c r="F237" s="71" t="n">
        <f aca="false">Menu!E134</f>
        <v>150</v>
      </c>
      <c r="G237" s="64" t="s">
        <v>15</v>
      </c>
      <c r="H237" s="66" t="n">
        <f aca="false">F237/INDEX(Valeurs!$B$2:$B$40,MATCH(E237,Valeurs!$A$2:$A$40,0))*INDEX(Valeurs!$D$2:$D$40,MATCH(E237,Valeurs!$A$2:$A$40,0))</f>
        <v>27</v>
      </c>
      <c r="I237" s="72" t="n">
        <f aca="false">F237/INDEX(Valeurs!$B$2:$B$40,MATCH(E237,Valeurs!$A$2:$A$40,0))*INDEX(Valeurs!$E$2:$E$40,MATCH(E237,Valeurs!$A$2:$A$40,0))</f>
        <v>1.35</v>
      </c>
      <c r="J237" s="64" t="n">
        <v>2</v>
      </c>
    </row>
    <row r="238" customFormat="false" ht="15" hidden="false" customHeight="false" outlineLevel="0" collapsed="false">
      <c r="A238" s="70" t="n">
        <v>46301</v>
      </c>
      <c r="B238" s="64" t="s">
        <v>23</v>
      </c>
      <c r="C238" s="64" t="s">
        <v>64</v>
      </c>
      <c r="D238" s="64" t="s">
        <v>6</v>
      </c>
      <c r="E238" s="64" t="s">
        <v>35</v>
      </c>
      <c r="F238" s="71" t="n">
        <f aca="false">Menu!D135</f>
        <v>30</v>
      </c>
      <c r="G238" s="64" t="s">
        <v>15</v>
      </c>
      <c r="H238" s="66" t="n">
        <f aca="false">F238/INDEX(Valeurs!$B$2:$B$40,MATCH(E238,Valeurs!$A$2:$A$40,0))*INDEX(Valeurs!$D$2:$D$40,MATCH(E238,Valeurs!$A$2:$A$40,0))</f>
        <v>12</v>
      </c>
      <c r="I238" s="72" t="n">
        <f aca="false">F238/INDEX(Valeurs!$B$2:$B$40,MATCH(E238,Valeurs!$A$2:$A$40,0))*INDEX(Valeurs!$E$2:$E$40,MATCH(E238,Valeurs!$A$2:$A$40,0))</f>
        <v>0.33</v>
      </c>
      <c r="J238" s="64" t="n">
        <v>2</v>
      </c>
    </row>
    <row r="239" customFormat="false" ht="15" hidden="false" customHeight="false" outlineLevel="0" collapsed="false">
      <c r="A239" s="70" t="n">
        <v>46301</v>
      </c>
      <c r="B239" s="64" t="s">
        <v>23</v>
      </c>
      <c r="C239" s="64" t="s">
        <v>64</v>
      </c>
      <c r="D239" s="64" t="s">
        <v>7</v>
      </c>
      <c r="E239" s="64" t="s">
        <v>35</v>
      </c>
      <c r="F239" s="71" t="n">
        <f aca="false">Menu!E135</f>
        <v>30</v>
      </c>
      <c r="G239" s="64" t="s">
        <v>15</v>
      </c>
      <c r="H239" s="66" t="n">
        <f aca="false">F239/INDEX(Valeurs!$B$2:$B$40,MATCH(E239,Valeurs!$A$2:$A$40,0))*INDEX(Valeurs!$D$2:$D$40,MATCH(E239,Valeurs!$A$2:$A$40,0))</f>
        <v>12</v>
      </c>
      <c r="I239" s="72" t="n">
        <f aca="false">F239/INDEX(Valeurs!$B$2:$B$40,MATCH(E239,Valeurs!$A$2:$A$40,0))*INDEX(Valeurs!$E$2:$E$40,MATCH(E239,Valeurs!$A$2:$A$40,0))</f>
        <v>0.33</v>
      </c>
      <c r="J239" s="64" t="n">
        <v>2</v>
      </c>
    </row>
    <row r="240" customFormat="false" ht="15" hidden="false" customHeight="false" outlineLevel="0" collapsed="false">
      <c r="A240" s="70" t="n">
        <v>46301</v>
      </c>
      <c r="B240" s="64" t="s">
        <v>23</v>
      </c>
      <c r="C240" s="64" t="s">
        <v>64</v>
      </c>
      <c r="D240" s="64" t="s">
        <v>6</v>
      </c>
      <c r="E240" s="64" t="s">
        <v>43</v>
      </c>
      <c r="F240" s="71" t="n">
        <f aca="false">Menu!D136</f>
        <v>85</v>
      </c>
      <c r="G240" s="64" t="s">
        <v>15</v>
      </c>
      <c r="H240" s="66" t="n">
        <f aca="false">F240/INDEX(Valeurs!$B$2:$B$40,MATCH(E240,Valeurs!$A$2:$A$40,0))*INDEX(Valeurs!$D$2:$D$40,MATCH(E240,Valeurs!$A$2:$A$40,0))</f>
        <v>301.75</v>
      </c>
      <c r="I240" s="72" t="n">
        <f aca="false">F240/INDEX(Valeurs!$B$2:$B$40,MATCH(E240,Valeurs!$A$2:$A$40,0))*INDEX(Valeurs!$E$2:$E$40,MATCH(E240,Valeurs!$A$2:$A$40,0))</f>
        <v>5.95</v>
      </c>
      <c r="J240" s="64" t="n">
        <v>2</v>
      </c>
    </row>
    <row r="241" customFormat="false" ht="15" hidden="false" customHeight="false" outlineLevel="0" collapsed="false">
      <c r="A241" s="70" t="n">
        <v>46301</v>
      </c>
      <c r="B241" s="64" t="s">
        <v>23</v>
      </c>
      <c r="C241" s="64" t="s">
        <v>64</v>
      </c>
      <c r="D241" s="64" t="s">
        <v>7</v>
      </c>
      <c r="E241" s="64" t="s">
        <v>43</v>
      </c>
      <c r="F241" s="71" t="n">
        <f aca="false">Menu!E136</f>
        <v>45</v>
      </c>
      <c r="G241" s="64" t="s">
        <v>15</v>
      </c>
      <c r="H241" s="66" t="n">
        <f aca="false">F241/INDEX(Valeurs!$B$2:$B$40,MATCH(E241,Valeurs!$A$2:$A$40,0))*INDEX(Valeurs!$D$2:$D$40,MATCH(E241,Valeurs!$A$2:$A$40,0))</f>
        <v>159.75</v>
      </c>
      <c r="I241" s="72" t="n">
        <f aca="false">F241/INDEX(Valeurs!$B$2:$B$40,MATCH(E241,Valeurs!$A$2:$A$40,0))*INDEX(Valeurs!$E$2:$E$40,MATCH(E241,Valeurs!$A$2:$A$40,0))</f>
        <v>3.15</v>
      </c>
      <c r="J241" s="64" t="n">
        <v>2</v>
      </c>
    </row>
    <row r="242" customFormat="false" ht="15" hidden="false" customHeight="false" outlineLevel="0" collapsed="false">
      <c r="A242" s="70" t="n">
        <v>46301</v>
      </c>
      <c r="B242" s="64" t="s">
        <v>23</v>
      </c>
      <c r="C242" s="64" t="s">
        <v>64</v>
      </c>
      <c r="D242" s="64" t="s">
        <v>6</v>
      </c>
      <c r="E242" s="64" t="s">
        <v>28</v>
      </c>
      <c r="F242" s="71" t="n">
        <f aca="false">Menu!D137</f>
        <v>10</v>
      </c>
      <c r="G242" s="64" t="s">
        <v>15</v>
      </c>
      <c r="H242" s="66" t="n">
        <f aca="false">F242/INDEX(Valeurs!$B$2:$B$40,MATCH(E242,Valeurs!$A$2:$A$40,0))*INDEX(Valeurs!$D$2:$D$40,MATCH(E242,Valeurs!$A$2:$A$40,0))</f>
        <v>90</v>
      </c>
      <c r="I242" s="72" t="n">
        <f aca="false">F242/INDEX(Valeurs!$B$2:$B$40,MATCH(E242,Valeurs!$A$2:$A$40,0))*INDEX(Valeurs!$E$2:$E$40,MATCH(E242,Valeurs!$A$2:$A$40,0))</f>
        <v>0</v>
      </c>
      <c r="J242" s="64" t="n">
        <v>2</v>
      </c>
    </row>
    <row r="243" customFormat="false" ht="15" hidden="false" customHeight="false" outlineLevel="0" collapsed="false">
      <c r="A243" s="70" t="n">
        <v>46301</v>
      </c>
      <c r="B243" s="64" t="s">
        <v>23</v>
      </c>
      <c r="C243" s="64" t="s">
        <v>64</v>
      </c>
      <c r="D243" s="64" t="s">
        <v>7</v>
      </c>
      <c r="E243" s="64" t="s">
        <v>28</v>
      </c>
      <c r="F243" s="71" t="n">
        <f aca="false">Menu!E137</f>
        <v>7</v>
      </c>
      <c r="G243" s="64" t="s">
        <v>15</v>
      </c>
      <c r="H243" s="66" t="n">
        <f aca="false">F243/INDEX(Valeurs!$B$2:$B$40,MATCH(E243,Valeurs!$A$2:$A$40,0))*INDEX(Valeurs!$D$2:$D$40,MATCH(E243,Valeurs!$A$2:$A$40,0))</f>
        <v>63</v>
      </c>
      <c r="I243" s="72" t="n">
        <f aca="false">F243/INDEX(Valeurs!$B$2:$B$40,MATCH(E243,Valeurs!$A$2:$A$40,0))*INDEX(Valeurs!$E$2:$E$40,MATCH(E243,Valeurs!$A$2:$A$40,0))</f>
        <v>0</v>
      </c>
      <c r="J243" s="64" t="n">
        <v>2</v>
      </c>
    </row>
    <row r="244" customFormat="false" ht="15" hidden="false" customHeight="false" outlineLevel="0" collapsed="false">
      <c r="A244" s="70" t="n">
        <v>46301</v>
      </c>
      <c r="B244" s="64" t="s">
        <v>29</v>
      </c>
      <c r="C244" s="64" t="s">
        <v>65</v>
      </c>
      <c r="D244" s="64" t="s">
        <v>6</v>
      </c>
      <c r="E244" s="64" t="s">
        <v>25</v>
      </c>
      <c r="F244" s="71" t="n">
        <f aca="false">Menu!D138</f>
        <v>120</v>
      </c>
      <c r="G244" s="64" t="s">
        <v>15</v>
      </c>
      <c r="H244" s="66" t="n">
        <f aca="false">F244/INDEX(Valeurs!$B$2:$B$40,MATCH(E244,Valeurs!$A$2:$A$40,0))*INDEX(Valeurs!$D$2:$D$40,MATCH(E244,Valeurs!$A$2:$A$40,0))</f>
        <v>138</v>
      </c>
      <c r="I244" s="72" t="n">
        <f aca="false">F244/INDEX(Valeurs!$B$2:$B$40,MATCH(E244,Valeurs!$A$2:$A$40,0))*INDEX(Valeurs!$E$2:$E$40,MATCH(E244,Valeurs!$A$2:$A$40,0))</f>
        <v>27.6</v>
      </c>
      <c r="J244" s="64" t="n">
        <v>2</v>
      </c>
    </row>
    <row r="245" customFormat="false" ht="15" hidden="false" customHeight="false" outlineLevel="0" collapsed="false">
      <c r="A245" s="70" t="n">
        <v>46301</v>
      </c>
      <c r="B245" s="64" t="s">
        <v>29</v>
      </c>
      <c r="C245" s="64" t="s">
        <v>65</v>
      </c>
      <c r="D245" s="64" t="s">
        <v>7</v>
      </c>
      <c r="E245" s="64" t="s">
        <v>25</v>
      </c>
      <c r="F245" s="71" t="n">
        <f aca="false">Menu!E138</f>
        <v>90</v>
      </c>
      <c r="G245" s="64" t="s">
        <v>15</v>
      </c>
      <c r="H245" s="66" t="n">
        <f aca="false">F245/INDEX(Valeurs!$B$2:$B$40,MATCH(E245,Valeurs!$A$2:$A$40,0))*INDEX(Valeurs!$D$2:$D$40,MATCH(E245,Valeurs!$A$2:$A$40,0))</f>
        <v>103.5</v>
      </c>
      <c r="I245" s="72" t="n">
        <f aca="false">F245/INDEX(Valeurs!$B$2:$B$40,MATCH(E245,Valeurs!$A$2:$A$40,0))*INDEX(Valeurs!$E$2:$E$40,MATCH(E245,Valeurs!$A$2:$A$40,0))</f>
        <v>20.7</v>
      </c>
      <c r="J245" s="64" t="n">
        <v>2</v>
      </c>
    </row>
    <row r="246" customFormat="false" ht="15" hidden="false" customHeight="false" outlineLevel="0" collapsed="false">
      <c r="A246" s="70" t="n">
        <v>46301</v>
      </c>
      <c r="B246" s="64" t="s">
        <v>29</v>
      </c>
      <c r="C246" s="64" t="s">
        <v>65</v>
      </c>
      <c r="D246" s="64" t="s">
        <v>6</v>
      </c>
      <c r="E246" s="64" t="s">
        <v>66</v>
      </c>
      <c r="F246" s="71" t="n">
        <f aca="false">Menu!D139</f>
        <v>105</v>
      </c>
      <c r="G246" s="64" t="s">
        <v>15</v>
      </c>
      <c r="H246" s="66" t="n">
        <f aca="false">F246/INDEX(Valeurs!$B$2:$B$40,MATCH(E246,Valeurs!$A$2:$A$40,0))*INDEX(Valeurs!$D$2:$D$40,MATCH(E246,Valeurs!$A$2:$A$40,0))</f>
        <v>372.75</v>
      </c>
      <c r="I246" s="72" t="n">
        <f aca="false">F246/INDEX(Valeurs!$B$2:$B$40,MATCH(E246,Valeurs!$A$2:$A$40,0))*INDEX(Valeurs!$E$2:$E$40,MATCH(E246,Valeurs!$A$2:$A$40,0))</f>
        <v>13.125</v>
      </c>
      <c r="J246" s="64" t="n">
        <v>2</v>
      </c>
    </row>
    <row r="247" customFormat="false" ht="15" hidden="false" customHeight="false" outlineLevel="0" collapsed="false">
      <c r="A247" s="70" t="n">
        <v>46301</v>
      </c>
      <c r="B247" s="64" t="s">
        <v>29</v>
      </c>
      <c r="C247" s="64" t="s">
        <v>65</v>
      </c>
      <c r="D247" s="64" t="s">
        <v>7</v>
      </c>
      <c r="E247" s="64" t="s">
        <v>66</v>
      </c>
      <c r="F247" s="71" t="n">
        <f aca="false">Menu!E139</f>
        <v>60</v>
      </c>
      <c r="G247" s="64" t="s">
        <v>15</v>
      </c>
      <c r="H247" s="66" t="n">
        <f aca="false">F247/INDEX(Valeurs!$B$2:$B$40,MATCH(E247,Valeurs!$A$2:$A$40,0))*INDEX(Valeurs!$D$2:$D$40,MATCH(E247,Valeurs!$A$2:$A$40,0))</f>
        <v>213</v>
      </c>
      <c r="I247" s="72" t="n">
        <f aca="false">F247/INDEX(Valeurs!$B$2:$B$40,MATCH(E247,Valeurs!$A$2:$A$40,0))*INDEX(Valeurs!$E$2:$E$40,MATCH(E247,Valeurs!$A$2:$A$40,0))</f>
        <v>7.5</v>
      </c>
      <c r="J247" s="64" t="n">
        <v>2</v>
      </c>
    </row>
    <row r="248" customFormat="false" ht="15" hidden="false" customHeight="false" outlineLevel="0" collapsed="false">
      <c r="A248" s="70" t="n">
        <v>46301</v>
      </c>
      <c r="B248" s="64" t="s">
        <v>29</v>
      </c>
      <c r="C248" s="64" t="s">
        <v>65</v>
      </c>
      <c r="D248" s="64" t="s">
        <v>6</v>
      </c>
      <c r="E248" s="64" t="s">
        <v>67</v>
      </c>
      <c r="F248" s="71" t="n">
        <f aca="false">Menu!D140</f>
        <v>80</v>
      </c>
      <c r="G248" s="64" t="s">
        <v>15</v>
      </c>
      <c r="H248" s="66" t="n">
        <f aca="false">F248/INDEX(Valeurs!$B$2:$B$40,MATCH(E248,Valeurs!$A$2:$A$40,0))*INDEX(Valeurs!$D$2:$D$40,MATCH(E248,Valeurs!$A$2:$A$40,0))</f>
        <v>17.6</v>
      </c>
      <c r="I248" s="72" t="n">
        <f aca="false">F248/INDEX(Valeurs!$B$2:$B$40,MATCH(E248,Valeurs!$A$2:$A$40,0))*INDEX(Valeurs!$E$2:$E$40,MATCH(E248,Valeurs!$A$2:$A$40,0))</f>
        <v>2.48</v>
      </c>
      <c r="J248" s="64" t="n">
        <v>2</v>
      </c>
    </row>
    <row r="249" customFormat="false" ht="15" hidden="false" customHeight="false" outlineLevel="0" collapsed="false">
      <c r="A249" s="70" t="n">
        <v>46301</v>
      </c>
      <c r="B249" s="64" t="s">
        <v>29</v>
      </c>
      <c r="C249" s="64" t="s">
        <v>65</v>
      </c>
      <c r="D249" s="64" t="s">
        <v>7</v>
      </c>
      <c r="E249" s="64" t="s">
        <v>67</v>
      </c>
      <c r="F249" s="71" t="n">
        <f aca="false">Menu!E140</f>
        <v>80</v>
      </c>
      <c r="G249" s="64" t="s">
        <v>15</v>
      </c>
      <c r="H249" s="66" t="n">
        <f aca="false">F249/INDEX(Valeurs!$B$2:$B$40,MATCH(E249,Valeurs!$A$2:$A$40,0))*INDEX(Valeurs!$D$2:$D$40,MATCH(E249,Valeurs!$A$2:$A$40,0))</f>
        <v>17.6</v>
      </c>
      <c r="I249" s="72" t="n">
        <f aca="false">F249/INDEX(Valeurs!$B$2:$B$40,MATCH(E249,Valeurs!$A$2:$A$40,0))*INDEX(Valeurs!$E$2:$E$40,MATCH(E249,Valeurs!$A$2:$A$40,0))</f>
        <v>2.48</v>
      </c>
      <c r="J249" s="64" t="n">
        <v>2</v>
      </c>
    </row>
    <row r="250" customFormat="false" ht="15" hidden="false" customHeight="false" outlineLevel="0" collapsed="false">
      <c r="A250" s="70" t="n">
        <v>46301</v>
      </c>
      <c r="B250" s="64" t="s">
        <v>29</v>
      </c>
      <c r="C250" s="64" t="s">
        <v>65</v>
      </c>
      <c r="D250" s="64" t="s">
        <v>6</v>
      </c>
      <c r="E250" s="64" t="s">
        <v>33</v>
      </c>
      <c r="F250" s="71" t="n">
        <f aca="false">Menu!D141</f>
        <v>120</v>
      </c>
      <c r="G250" s="64" t="s">
        <v>15</v>
      </c>
      <c r="H250" s="66" t="n">
        <f aca="false">F250/INDEX(Valeurs!$B$2:$B$40,MATCH(E250,Valeurs!$A$2:$A$40,0))*INDEX(Valeurs!$D$2:$D$40,MATCH(E250,Valeurs!$A$2:$A$40,0))</f>
        <v>20.4</v>
      </c>
      <c r="I250" s="72" t="n">
        <f aca="false">F250/INDEX(Valeurs!$B$2:$B$40,MATCH(E250,Valeurs!$A$2:$A$40,0))*INDEX(Valeurs!$E$2:$E$40,MATCH(E250,Valeurs!$A$2:$A$40,0))</f>
        <v>1.44</v>
      </c>
      <c r="J250" s="64" t="n">
        <v>2</v>
      </c>
    </row>
    <row r="251" customFormat="false" ht="15" hidden="false" customHeight="false" outlineLevel="0" collapsed="false">
      <c r="A251" s="70" t="n">
        <v>46301</v>
      </c>
      <c r="B251" s="64" t="s">
        <v>29</v>
      </c>
      <c r="C251" s="64" t="s">
        <v>65</v>
      </c>
      <c r="D251" s="64" t="s">
        <v>7</v>
      </c>
      <c r="E251" s="64" t="s">
        <v>33</v>
      </c>
      <c r="F251" s="71" t="n">
        <f aca="false">Menu!E141</f>
        <v>150</v>
      </c>
      <c r="G251" s="64" t="s">
        <v>15</v>
      </c>
      <c r="H251" s="66" t="n">
        <f aca="false">F251/INDEX(Valeurs!$B$2:$B$40,MATCH(E251,Valeurs!$A$2:$A$40,0))*INDEX(Valeurs!$D$2:$D$40,MATCH(E251,Valeurs!$A$2:$A$40,0))</f>
        <v>25.5</v>
      </c>
      <c r="I251" s="72" t="n">
        <f aca="false">F251/INDEX(Valeurs!$B$2:$B$40,MATCH(E251,Valeurs!$A$2:$A$40,0))*INDEX(Valeurs!$E$2:$E$40,MATCH(E251,Valeurs!$A$2:$A$40,0))</f>
        <v>1.8</v>
      </c>
      <c r="J251" s="64" t="n">
        <v>2</v>
      </c>
    </row>
    <row r="252" customFormat="false" ht="15" hidden="false" customHeight="false" outlineLevel="0" collapsed="false">
      <c r="A252" s="70" t="n">
        <v>46301</v>
      </c>
      <c r="B252" s="64" t="s">
        <v>29</v>
      </c>
      <c r="C252" s="64" t="s">
        <v>65</v>
      </c>
      <c r="D252" s="64" t="s">
        <v>6</v>
      </c>
      <c r="E252" s="64" t="s">
        <v>28</v>
      </c>
      <c r="F252" s="71" t="n">
        <f aca="false">Menu!D142</f>
        <v>10</v>
      </c>
      <c r="G252" s="64" t="s">
        <v>15</v>
      </c>
      <c r="H252" s="66" t="n">
        <f aca="false">F252/INDEX(Valeurs!$B$2:$B$40,MATCH(E252,Valeurs!$A$2:$A$40,0))*INDEX(Valeurs!$D$2:$D$40,MATCH(E252,Valeurs!$A$2:$A$40,0))</f>
        <v>90</v>
      </c>
      <c r="I252" s="72" t="n">
        <f aca="false">F252/INDEX(Valeurs!$B$2:$B$40,MATCH(E252,Valeurs!$A$2:$A$40,0))*INDEX(Valeurs!$E$2:$E$40,MATCH(E252,Valeurs!$A$2:$A$40,0))</f>
        <v>0</v>
      </c>
      <c r="J252" s="64" t="n">
        <v>2</v>
      </c>
    </row>
    <row r="253" customFormat="false" ht="15" hidden="false" customHeight="false" outlineLevel="0" collapsed="false">
      <c r="A253" s="70" t="n">
        <v>46301</v>
      </c>
      <c r="B253" s="64" t="s">
        <v>29</v>
      </c>
      <c r="C253" s="64" t="s">
        <v>65</v>
      </c>
      <c r="D253" s="64" t="s">
        <v>7</v>
      </c>
      <c r="E253" s="64" t="s">
        <v>28</v>
      </c>
      <c r="F253" s="71" t="n">
        <f aca="false">Menu!E142</f>
        <v>7</v>
      </c>
      <c r="G253" s="64" t="s">
        <v>15</v>
      </c>
      <c r="H253" s="66" t="n">
        <f aca="false">F253/INDEX(Valeurs!$B$2:$B$40,MATCH(E253,Valeurs!$A$2:$A$40,0))*INDEX(Valeurs!$D$2:$D$40,MATCH(E253,Valeurs!$A$2:$A$40,0))</f>
        <v>63</v>
      </c>
      <c r="I253" s="72" t="n">
        <f aca="false">F253/INDEX(Valeurs!$B$2:$B$40,MATCH(E253,Valeurs!$A$2:$A$40,0))*INDEX(Valeurs!$E$2:$E$40,MATCH(E253,Valeurs!$A$2:$A$40,0))</f>
        <v>0</v>
      </c>
      <c r="J253" s="64" t="n">
        <v>2</v>
      </c>
    </row>
    <row r="254" customFormat="false" ht="15" hidden="false" customHeight="false" outlineLevel="0" collapsed="false">
      <c r="A254" s="70" t="n">
        <v>46301</v>
      </c>
      <c r="B254" s="64" t="s">
        <v>36</v>
      </c>
      <c r="C254" s="64" t="s">
        <v>68</v>
      </c>
      <c r="D254" s="64" t="s">
        <v>6</v>
      </c>
      <c r="E254" s="64" t="s">
        <v>39</v>
      </c>
      <c r="F254" s="71" t="n">
        <f aca="false">Menu!D143</f>
        <v>15</v>
      </c>
      <c r="G254" s="64" t="s">
        <v>15</v>
      </c>
      <c r="H254" s="66" t="n">
        <f aca="false">F254/INDEX(Valeurs!$B$2:$B$40,MATCH(E254,Valeurs!$A$2:$A$40,0))*INDEX(Valeurs!$D$2:$D$40,MATCH(E254,Valeurs!$A$2:$A$40,0))</f>
        <v>87</v>
      </c>
      <c r="I254" s="72" t="n">
        <f aca="false">F254/INDEX(Valeurs!$B$2:$B$40,MATCH(E254,Valeurs!$A$2:$A$40,0))*INDEX(Valeurs!$E$2:$E$40,MATCH(E254,Valeurs!$A$2:$A$40,0))</f>
        <v>1.125</v>
      </c>
      <c r="J254" s="64" t="n">
        <v>2</v>
      </c>
    </row>
    <row r="255" customFormat="false" ht="15" hidden="false" customHeight="false" outlineLevel="0" collapsed="false">
      <c r="A255" s="70" t="n">
        <v>46301</v>
      </c>
      <c r="B255" s="64" t="s">
        <v>36</v>
      </c>
      <c r="C255" s="64" t="s">
        <v>68</v>
      </c>
      <c r="D255" s="64" t="s">
        <v>7</v>
      </c>
      <c r="E255" s="64" t="s">
        <v>39</v>
      </c>
      <c r="F255" s="71" t="n">
        <f aca="false">Menu!E143</f>
        <v>10</v>
      </c>
      <c r="G255" s="64" t="s">
        <v>15</v>
      </c>
      <c r="H255" s="66" t="n">
        <f aca="false">F255/INDEX(Valeurs!$B$2:$B$40,MATCH(E255,Valeurs!$A$2:$A$40,0))*INDEX(Valeurs!$D$2:$D$40,MATCH(E255,Valeurs!$A$2:$A$40,0))</f>
        <v>58</v>
      </c>
      <c r="I255" s="72" t="n">
        <f aca="false">F255/INDEX(Valeurs!$B$2:$B$40,MATCH(E255,Valeurs!$A$2:$A$40,0))*INDEX(Valeurs!$E$2:$E$40,MATCH(E255,Valeurs!$A$2:$A$40,0))</f>
        <v>0.75</v>
      </c>
      <c r="J255" s="64" t="n">
        <v>2</v>
      </c>
    </row>
    <row r="256" customFormat="false" ht="15" hidden="false" customHeight="false" outlineLevel="0" collapsed="false">
      <c r="A256" s="70" t="n">
        <v>46302</v>
      </c>
      <c r="B256" s="64" t="s">
        <v>10</v>
      </c>
      <c r="C256" s="64" t="s">
        <v>11</v>
      </c>
      <c r="D256" s="64" t="s">
        <v>6</v>
      </c>
      <c r="E256" s="64" t="s">
        <v>12</v>
      </c>
      <c r="F256" s="71" t="n">
        <f aca="false">Menu!D146</f>
        <v>250</v>
      </c>
      <c r="G256" s="64" t="s">
        <v>13</v>
      </c>
      <c r="H256" s="66" t="n">
        <f aca="false">F256/INDEX(Valeurs!$B$2:$B$40,MATCH(E256,Valeurs!$A$2:$A$40,0))*INDEX(Valeurs!$D$2:$D$40,MATCH(E256,Valeurs!$A$2:$A$40,0))</f>
        <v>115</v>
      </c>
      <c r="I256" s="72" t="n">
        <f aca="false">F256/INDEX(Valeurs!$B$2:$B$40,MATCH(E256,Valeurs!$A$2:$A$40,0))*INDEX(Valeurs!$E$2:$E$40,MATCH(E256,Valeurs!$A$2:$A$40,0))</f>
        <v>8.25</v>
      </c>
      <c r="J256" s="64" t="n">
        <v>2</v>
      </c>
    </row>
    <row r="257" customFormat="false" ht="15" hidden="false" customHeight="false" outlineLevel="0" collapsed="false">
      <c r="A257" s="70" t="n">
        <v>46302</v>
      </c>
      <c r="B257" s="64" t="s">
        <v>10</v>
      </c>
      <c r="C257" s="64" t="s">
        <v>11</v>
      </c>
      <c r="D257" s="64" t="s">
        <v>7</v>
      </c>
      <c r="E257" s="64" t="s">
        <v>12</v>
      </c>
      <c r="F257" s="71" t="n">
        <f aca="false">Menu!E146</f>
        <v>0</v>
      </c>
      <c r="G257" s="64" t="s">
        <v>13</v>
      </c>
      <c r="H257" s="66" t="n">
        <f aca="false">F257/INDEX(Valeurs!$B$2:$B$40,MATCH(E257,Valeurs!$A$2:$A$40,0))*INDEX(Valeurs!$D$2:$D$40,MATCH(E257,Valeurs!$A$2:$A$40,0))</f>
        <v>0</v>
      </c>
      <c r="I257" s="72" t="n">
        <f aca="false">F257/INDEX(Valeurs!$B$2:$B$40,MATCH(E257,Valeurs!$A$2:$A$40,0))*INDEX(Valeurs!$E$2:$E$40,MATCH(E257,Valeurs!$A$2:$A$40,0))</f>
        <v>0</v>
      </c>
      <c r="J257" s="64" t="n">
        <v>2</v>
      </c>
    </row>
    <row r="258" customFormat="false" ht="15" hidden="false" customHeight="false" outlineLevel="0" collapsed="false">
      <c r="A258" s="70" t="n">
        <v>46302</v>
      </c>
      <c r="B258" s="64" t="s">
        <v>10</v>
      </c>
      <c r="C258" s="64" t="s">
        <v>11</v>
      </c>
      <c r="D258" s="64" t="s">
        <v>6</v>
      </c>
      <c r="E258" s="64" t="s">
        <v>14</v>
      </c>
      <c r="F258" s="71" t="n">
        <f aca="false">Menu!D147</f>
        <v>100</v>
      </c>
      <c r="G258" s="64" t="s">
        <v>15</v>
      </c>
      <c r="H258" s="66" t="n">
        <f aca="false">F258/INDEX(Valeurs!$B$2:$B$40,MATCH(E258,Valeurs!$A$2:$A$40,0))*INDEX(Valeurs!$D$2:$D$40,MATCH(E258,Valeurs!$A$2:$A$40,0))</f>
        <v>90</v>
      </c>
      <c r="I258" s="72" t="n">
        <f aca="false">F258/INDEX(Valeurs!$B$2:$B$40,MATCH(E258,Valeurs!$A$2:$A$40,0))*INDEX(Valeurs!$E$2:$E$40,MATCH(E258,Valeurs!$A$2:$A$40,0))</f>
        <v>1.1</v>
      </c>
      <c r="J258" s="64" t="n">
        <v>2</v>
      </c>
    </row>
    <row r="259" customFormat="false" ht="15" hidden="false" customHeight="false" outlineLevel="0" collapsed="false">
      <c r="A259" s="70" t="n">
        <v>46302</v>
      </c>
      <c r="B259" s="64" t="s">
        <v>10</v>
      </c>
      <c r="C259" s="64" t="s">
        <v>11</v>
      </c>
      <c r="D259" s="64" t="s">
        <v>7</v>
      </c>
      <c r="E259" s="64" t="s">
        <v>14</v>
      </c>
      <c r="F259" s="71" t="n">
        <f aca="false">Menu!E147</f>
        <v>0</v>
      </c>
      <c r="G259" s="64" t="s">
        <v>15</v>
      </c>
      <c r="H259" s="66" t="n">
        <f aca="false">F259/INDEX(Valeurs!$B$2:$B$40,MATCH(E259,Valeurs!$A$2:$A$40,0))*INDEX(Valeurs!$D$2:$D$40,MATCH(E259,Valeurs!$A$2:$A$40,0))</f>
        <v>0</v>
      </c>
      <c r="I259" s="72" t="n">
        <f aca="false">F259/INDEX(Valeurs!$B$2:$B$40,MATCH(E259,Valeurs!$A$2:$A$40,0))*INDEX(Valeurs!$E$2:$E$40,MATCH(E259,Valeurs!$A$2:$A$40,0))</f>
        <v>0</v>
      </c>
      <c r="J259" s="64" t="n">
        <v>2</v>
      </c>
    </row>
    <row r="260" customFormat="false" ht="15" hidden="false" customHeight="false" outlineLevel="0" collapsed="false">
      <c r="A260" s="70" t="n">
        <v>46302</v>
      </c>
      <c r="B260" s="64" t="s">
        <v>10</v>
      </c>
      <c r="C260" s="64" t="s">
        <v>11</v>
      </c>
      <c r="D260" s="64" t="s">
        <v>6</v>
      </c>
      <c r="E260" s="64" t="s">
        <v>16</v>
      </c>
      <c r="F260" s="71" t="n">
        <f aca="false">Menu!D148</f>
        <v>65</v>
      </c>
      <c r="G260" s="64" t="s">
        <v>15</v>
      </c>
      <c r="H260" s="66" t="n">
        <f aca="false">F260/INDEX(Valeurs!$B$2:$B$40,MATCH(E260,Valeurs!$A$2:$A$40,0))*INDEX(Valeurs!$D$2:$D$40,MATCH(E260,Valeurs!$A$2:$A$40,0))</f>
        <v>241.8</v>
      </c>
      <c r="I260" s="72" t="n">
        <f aca="false">F260/INDEX(Valeurs!$B$2:$B$40,MATCH(E260,Valeurs!$A$2:$A$40,0))*INDEX(Valeurs!$E$2:$E$40,MATCH(E260,Valeurs!$A$2:$A$40,0))</f>
        <v>8.775</v>
      </c>
      <c r="J260" s="64" t="n">
        <v>2</v>
      </c>
    </row>
    <row r="261" customFormat="false" ht="15" hidden="false" customHeight="false" outlineLevel="0" collapsed="false">
      <c r="A261" s="70" t="n">
        <v>46302</v>
      </c>
      <c r="B261" s="64" t="s">
        <v>10</v>
      </c>
      <c r="C261" s="64" t="s">
        <v>11</v>
      </c>
      <c r="D261" s="64" t="s">
        <v>7</v>
      </c>
      <c r="E261" s="64" t="s">
        <v>16</v>
      </c>
      <c r="F261" s="71" t="n">
        <f aca="false">Menu!E148</f>
        <v>0</v>
      </c>
      <c r="G261" s="64" t="s">
        <v>15</v>
      </c>
      <c r="H261" s="66" t="n">
        <f aca="false">F261/INDEX(Valeurs!$B$2:$B$40,MATCH(E261,Valeurs!$A$2:$A$40,0))*INDEX(Valeurs!$D$2:$D$40,MATCH(E261,Valeurs!$A$2:$A$40,0))</f>
        <v>0</v>
      </c>
      <c r="I261" s="72" t="n">
        <f aca="false">F261/INDEX(Valeurs!$B$2:$B$40,MATCH(E261,Valeurs!$A$2:$A$40,0))*INDEX(Valeurs!$E$2:$E$40,MATCH(E261,Valeurs!$A$2:$A$40,0))</f>
        <v>0</v>
      </c>
      <c r="J261" s="64" t="n">
        <v>2</v>
      </c>
    </row>
    <row r="262" customFormat="false" ht="15" hidden="false" customHeight="false" outlineLevel="0" collapsed="false">
      <c r="A262" s="70" t="n">
        <v>46302</v>
      </c>
      <c r="B262" s="64" t="s">
        <v>10</v>
      </c>
      <c r="C262" s="64" t="s">
        <v>11</v>
      </c>
      <c r="D262" s="64" t="s">
        <v>6</v>
      </c>
      <c r="E262" s="64" t="s">
        <v>17</v>
      </c>
      <c r="F262" s="71" t="n">
        <f aca="false">Menu!D149</f>
        <v>1</v>
      </c>
      <c r="G262" s="64" t="s">
        <v>171</v>
      </c>
      <c r="H262" s="66" t="n">
        <f aca="false">F262/INDEX(Valeurs!$B$2:$B$40,MATCH(E262,Valeurs!$A$2:$A$40,0))*INDEX(Valeurs!$D$2:$D$40,MATCH(E262,Valeurs!$A$2:$A$40,0))</f>
        <v>87</v>
      </c>
      <c r="I262" s="72" t="n">
        <f aca="false">F262/INDEX(Valeurs!$B$2:$B$40,MATCH(E262,Valeurs!$A$2:$A$40,0))*INDEX(Valeurs!$E$2:$E$40,MATCH(E262,Valeurs!$A$2:$A$40,0))</f>
        <v>7.5</v>
      </c>
      <c r="J262" s="64" t="n">
        <v>2</v>
      </c>
    </row>
    <row r="263" customFormat="false" ht="15" hidden="false" customHeight="false" outlineLevel="0" collapsed="false">
      <c r="A263" s="70" t="n">
        <v>46302</v>
      </c>
      <c r="B263" s="64" t="s">
        <v>10</v>
      </c>
      <c r="C263" s="64" t="s">
        <v>11</v>
      </c>
      <c r="D263" s="64" t="s">
        <v>7</v>
      </c>
      <c r="E263" s="64" t="s">
        <v>17</v>
      </c>
      <c r="F263" s="71" t="n">
        <f aca="false">Menu!E149</f>
        <v>2</v>
      </c>
      <c r="G263" s="64" t="s">
        <v>171</v>
      </c>
      <c r="H263" s="66" t="n">
        <f aca="false">F263/INDEX(Valeurs!$B$2:$B$40,MATCH(E263,Valeurs!$A$2:$A$40,0))*INDEX(Valeurs!$D$2:$D$40,MATCH(E263,Valeurs!$A$2:$A$40,0))</f>
        <v>174</v>
      </c>
      <c r="I263" s="72" t="n">
        <f aca="false">F263/INDEX(Valeurs!$B$2:$B$40,MATCH(E263,Valeurs!$A$2:$A$40,0))*INDEX(Valeurs!$E$2:$E$40,MATCH(E263,Valeurs!$A$2:$A$40,0))</f>
        <v>15</v>
      </c>
      <c r="J263" s="64" t="n">
        <v>2</v>
      </c>
    </row>
    <row r="264" customFormat="false" ht="15" hidden="false" customHeight="false" outlineLevel="0" collapsed="false">
      <c r="A264" s="70" t="n">
        <v>46302</v>
      </c>
      <c r="B264" s="64" t="s">
        <v>10</v>
      </c>
      <c r="C264" s="64" t="s">
        <v>11</v>
      </c>
      <c r="D264" s="64" t="s">
        <v>6</v>
      </c>
      <c r="E264" s="64" t="s">
        <v>19</v>
      </c>
      <c r="F264" s="71" t="n">
        <f aca="false">Menu!D150</f>
        <v>0</v>
      </c>
      <c r="G264" s="64" t="s">
        <v>15</v>
      </c>
      <c r="H264" s="66" t="n">
        <f aca="false">F264/INDEX(Valeurs!$B$2:$B$40,MATCH(E264,Valeurs!$A$2:$A$40,0))*INDEX(Valeurs!$D$2:$D$40,MATCH(E264,Valeurs!$A$2:$A$40,0))</f>
        <v>0</v>
      </c>
      <c r="I264" s="72" t="n">
        <f aca="false">F264/INDEX(Valeurs!$B$2:$B$40,MATCH(E264,Valeurs!$A$2:$A$40,0))*INDEX(Valeurs!$E$2:$E$40,MATCH(E264,Valeurs!$A$2:$A$40,0))</f>
        <v>0</v>
      </c>
      <c r="J264" s="64" t="n">
        <v>2</v>
      </c>
    </row>
    <row r="265" customFormat="false" ht="15" hidden="false" customHeight="false" outlineLevel="0" collapsed="false">
      <c r="A265" s="70" t="n">
        <v>46302</v>
      </c>
      <c r="B265" s="64" t="s">
        <v>10</v>
      </c>
      <c r="C265" s="64" t="s">
        <v>11</v>
      </c>
      <c r="D265" s="64" t="s">
        <v>7</v>
      </c>
      <c r="E265" s="64" t="s">
        <v>19</v>
      </c>
      <c r="F265" s="71" t="n">
        <f aca="false">Menu!E150</f>
        <v>30</v>
      </c>
      <c r="G265" s="64" t="s">
        <v>15</v>
      </c>
      <c r="H265" s="66" t="n">
        <f aca="false">F265/INDEX(Valeurs!$B$2:$B$40,MATCH(E265,Valeurs!$A$2:$A$40,0))*INDEX(Valeurs!$D$2:$D$40,MATCH(E265,Valeurs!$A$2:$A$40,0))</f>
        <v>33</v>
      </c>
      <c r="I265" s="72" t="n">
        <f aca="false">F265/INDEX(Valeurs!$B$2:$B$40,MATCH(E265,Valeurs!$A$2:$A$40,0))*INDEX(Valeurs!$E$2:$E$40,MATCH(E265,Valeurs!$A$2:$A$40,0))</f>
        <v>6</v>
      </c>
      <c r="J265" s="64" t="n">
        <v>2</v>
      </c>
    </row>
    <row r="266" customFormat="false" ht="15" hidden="false" customHeight="false" outlineLevel="0" collapsed="false">
      <c r="A266" s="70" t="n">
        <v>46302</v>
      </c>
      <c r="B266" s="64" t="s">
        <v>10</v>
      </c>
      <c r="C266" s="64" t="s">
        <v>11</v>
      </c>
      <c r="D266" s="64" t="s">
        <v>6</v>
      </c>
      <c r="E266" s="64" t="s">
        <v>20</v>
      </c>
      <c r="F266" s="71" t="n">
        <f aca="false">Menu!D151</f>
        <v>0</v>
      </c>
      <c r="G266" s="64" t="s">
        <v>15</v>
      </c>
      <c r="H266" s="66" t="n">
        <f aca="false">F266/INDEX(Valeurs!$B$2:$B$40,MATCH(E266,Valeurs!$A$2:$A$40,0))*INDEX(Valeurs!$D$2:$D$40,MATCH(E266,Valeurs!$A$2:$A$40,0))</f>
        <v>0</v>
      </c>
      <c r="I266" s="72" t="n">
        <f aca="false">F266/INDEX(Valeurs!$B$2:$B$40,MATCH(E266,Valeurs!$A$2:$A$40,0))*INDEX(Valeurs!$E$2:$E$40,MATCH(E266,Valeurs!$A$2:$A$40,0))</f>
        <v>0</v>
      </c>
      <c r="J266" s="64" t="n">
        <v>2</v>
      </c>
    </row>
    <row r="267" customFormat="false" ht="15" hidden="false" customHeight="false" outlineLevel="0" collapsed="false">
      <c r="A267" s="70" t="n">
        <v>46302</v>
      </c>
      <c r="B267" s="64" t="s">
        <v>10</v>
      </c>
      <c r="C267" s="64" t="s">
        <v>11</v>
      </c>
      <c r="D267" s="64" t="s">
        <v>7</v>
      </c>
      <c r="E267" s="64" t="s">
        <v>20</v>
      </c>
      <c r="F267" s="71" t="n">
        <f aca="false">Menu!E151</f>
        <v>80</v>
      </c>
      <c r="G267" s="64" t="s">
        <v>15</v>
      </c>
      <c r="H267" s="66" t="n">
        <f aca="false">F267/INDEX(Valeurs!$B$2:$B$40,MATCH(E267,Valeurs!$A$2:$A$40,0))*INDEX(Valeurs!$D$2:$D$40,MATCH(E267,Valeurs!$A$2:$A$40,0))</f>
        <v>14.4</v>
      </c>
      <c r="I267" s="72" t="n">
        <f aca="false">F267/INDEX(Valeurs!$B$2:$B$40,MATCH(E267,Valeurs!$A$2:$A$40,0))*INDEX(Valeurs!$E$2:$E$40,MATCH(E267,Valeurs!$A$2:$A$40,0))</f>
        <v>0.72</v>
      </c>
      <c r="J267" s="64" t="n">
        <v>2</v>
      </c>
    </row>
    <row r="268" customFormat="false" ht="15" hidden="false" customHeight="false" outlineLevel="0" collapsed="false">
      <c r="A268" s="70" t="n">
        <v>46302</v>
      </c>
      <c r="B268" s="64" t="s">
        <v>10</v>
      </c>
      <c r="C268" s="64" t="s">
        <v>11</v>
      </c>
      <c r="D268" s="64" t="s">
        <v>6</v>
      </c>
      <c r="E268" s="64" t="s">
        <v>21</v>
      </c>
      <c r="F268" s="71" t="n">
        <f aca="false">Menu!D152</f>
        <v>0</v>
      </c>
      <c r="G268" s="64" t="s">
        <v>15</v>
      </c>
      <c r="H268" s="66" t="n">
        <f aca="false">F268/INDEX(Valeurs!$B$2:$B$40,MATCH(E268,Valeurs!$A$2:$A$40,0))*INDEX(Valeurs!$D$2:$D$40,MATCH(E268,Valeurs!$A$2:$A$40,0))</f>
        <v>0</v>
      </c>
      <c r="I268" s="72" t="n">
        <f aca="false">F268/INDEX(Valeurs!$B$2:$B$40,MATCH(E268,Valeurs!$A$2:$A$40,0))*INDEX(Valeurs!$E$2:$E$40,MATCH(E268,Valeurs!$A$2:$A$40,0))</f>
        <v>0</v>
      </c>
      <c r="J268" s="64" t="n">
        <v>2</v>
      </c>
    </row>
    <row r="269" customFormat="false" ht="15" hidden="false" customHeight="false" outlineLevel="0" collapsed="false">
      <c r="A269" s="70" t="n">
        <v>46302</v>
      </c>
      <c r="B269" s="64" t="s">
        <v>10</v>
      </c>
      <c r="C269" s="64" t="s">
        <v>11</v>
      </c>
      <c r="D269" s="64" t="s">
        <v>7</v>
      </c>
      <c r="E269" s="64" t="s">
        <v>21</v>
      </c>
      <c r="F269" s="71" t="n">
        <f aca="false">Menu!E152</f>
        <v>40</v>
      </c>
      <c r="G269" s="64" t="s">
        <v>15</v>
      </c>
      <c r="H269" s="66" t="n">
        <f aca="false">F269/INDEX(Valeurs!$B$2:$B$40,MATCH(E269,Valeurs!$A$2:$A$40,0))*INDEX(Valeurs!$D$2:$D$40,MATCH(E269,Valeurs!$A$2:$A$40,0))</f>
        <v>96</v>
      </c>
      <c r="I269" s="72" t="n">
        <f aca="false">F269/INDEX(Valeurs!$B$2:$B$40,MATCH(E269,Valeurs!$A$2:$A$40,0))*INDEX(Valeurs!$E$2:$E$40,MATCH(E269,Valeurs!$A$2:$A$40,0))</f>
        <v>3.6</v>
      </c>
      <c r="J269" s="64" t="n">
        <v>2</v>
      </c>
    </row>
    <row r="270" customFormat="false" ht="15" hidden="false" customHeight="false" outlineLevel="0" collapsed="false">
      <c r="A270" s="70" t="n">
        <v>46302</v>
      </c>
      <c r="B270" s="64" t="s">
        <v>10</v>
      </c>
      <c r="C270" s="64" t="s">
        <v>11</v>
      </c>
      <c r="D270" s="64" t="s">
        <v>6</v>
      </c>
      <c r="E270" s="64" t="s">
        <v>22</v>
      </c>
      <c r="F270" s="71" t="n">
        <f aca="false">Menu!D153</f>
        <v>0</v>
      </c>
      <c r="G270" s="64" t="s">
        <v>15</v>
      </c>
      <c r="H270" s="66" t="n">
        <f aca="false">F270/INDEX(Valeurs!$B$2:$B$40,MATCH(E270,Valeurs!$A$2:$A$40,0))*INDEX(Valeurs!$D$2:$D$40,MATCH(E270,Valeurs!$A$2:$A$40,0))</f>
        <v>0</v>
      </c>
      <c r="I270" s="72" t="n">
        <f aca="false">F270/INDEX(Valeurs!$B$2:$B$40,MATCH(E270,Valeurs!$A$2:$A$40,0))*INDEX(Valeurs!$E$2:$E$40,MATCH(E270,Valeurs!$A$2:$A$40,0))</f>
        <v>0</v>
      </c>
      <c r="J270" s="64" t="n">
        <v>2</v>
      </c>
    </row>
    <row r="271" customFormat="false" ht="15" hidden="false" customHeight="false" outlineLevel="0" collapsed="false">
      <c r="A271" s="70" t="n">
        <v>46302</v>
      </c>
      <c r="B271" s="64" t="s">
        <v>10</v>
      </c>
      <c r="C271" s="64" t="s">
        <v>11</v>
      </c>
      <c r="D271" s="64" t="s">
        <v>7</v>
      </c>
      <c r="E271" s="64" t="s">
        <v>22</v>
      </c>
      <c r="F271" s="71" t="n">
        <f aca="false">Menu!E153</f>
        <v>150</v>
      </c>
      <c r="G271" s="64" t="s">
        <v>15</v>
      </c>
      <c r="H271" s="66" t="n">
        <f aca="false">F271/INDEX(Valeurs!$B$2:$B$40,MATCH(E271,Valeurs!$A$2:$A$40,0))*INDEX(Valeurs!$D$2:$D$40,MATCH(E271,Valeurs!$A$2:$A$40,0))</f>
        <v>78</v>
      </c>
      <c r="I271" s="72" t="n">
        <f aca="false">F271/INDEX(Valeurs!$B$2:$B$40,MATCH(E271,Valeurs!$A$2:$A$40,0))*INDEX(Valeurs!$E$2:$E$40,MATCH(E271,Valeurs!$A$2:$A$40,0))</f>
        <v>0.45</v>
      </c>
      <c r="J271" s="64" t="n">
        <v>2</v>
      </c>
    </row>
    <row r="272" customFormat="false" ht="15" hidden="false" customHeight="false" outlineLevel="0" collapsed="false">
      <c r="A272" s="70" t="n">
        <v>46302</v>
      </c>
      <c r="B272" s="64" t="s">
        <v>23</v>
      </c>
      <c r="C272" s="64" t="s">
        <v>70</v>
      </c>
      <c r="D272" s="64" t="s">
        <v>6</v>
      </c>
      <c r="E272" s="64" t="s">
        <v>31</v>
      </c>
      <c r="F272" s="71" t="n">
        <f aca="false">Menu!D154</f>
        <v>150</v>
      </c>
      <c r="G272" s="64" t="s">
        <v>15</v>
      </c>
      <c r="H272" s="66" t="n">
        <f aca="false">F272/INDEX(Valeurs!$B$2:$B$40,MATCH(E272,Valeurs!$A$2:$A$40,0))*INDEX(Valeurs!$D$2:$D$40,MATCH(E272,Valeurs!$A$2:$A$40,0))</f>
        <v>120</v>
      </c>
      <c r="I272" s="72" t="n">
        <f aca="false">F272/INDEX(Valeurs!$B$2:$B$40,MATCH(E272,Valeurs!$A$2:$A$40,0))*INDEX(Valeurs!$E$2:$E$40,MATCH(E272,Valeurs!$A$2:$A$40,0))</f>
        <v>25.5</v>
      </c>
      <c r="J272" s="64" t="n">
        <v>2</v>
      </c>
    </row>
    <row r="273" customFormat="false" ht="15" hidden="false" customHeight="false" outlineLevel="0" collapsed="false">
      <c r="A273" s="70" t="n">
        <v>46302</v>
      </c>
      <c r="B273" s="64" t="s">
        <v>23</v>
      </c>
      <c r="C273" s="64" t="s">
        <v>70</v>
      </c>
      <c r="D273" s="64" t="s">
        <v>7</v>
      </c>
      <c r="E273" s="64" t="s">
        <v>31</v>
      </c>
      <c r="F273" s="71" t="n">
        <f aca="false">Menu!E154</f>
        <v>125</v>
      </c>
      <c r="G273" s="64" t="s">
        <v>15</v>
      </c>
      <c r="H273" s="66" t="n">
        <f aca="false">F273/INDEX(Valeurs!$B$2:$B$40,MATCH(E273,Valeurs!$A$2:$A$40,0))*INDEX(Valeurs!$D$2:$D$40,MATCH(E273,Valeurs!$A$2:$A$40,0))</f>
        <v>100</v>
      </c>
      <c r="I273" s="72" t="n">
        <f aca="false">F273/INDEX(Valeurs!$B$2:$B$40,MATCH(E273,Valeurs!$A$2:$A$40,0))*INDEX(Valeurs!$E$2:$E$40,MATCH(E273,Valeurs!$A$2:$A$40,0))</f>
        <v>21.25</v>
      </c>
      <c r="J273" s="64" t="n">
        <v>2</v>
      </c>
    </row>
    <row r="274" customFormat="false" ht="15" hidden="false" customHeight="false" outlineLevel="0" collapsed="false">
      <c r="A274" s="70" t="n">
        <v>46302</v>
      </c>
      <c r="B274" s="64" t="s">
        <v>23</v>
      </c>
      <c r="C274" s="64" t="s">
        <v>70</v>
      </c>
      <c r="D274" s="64" t="s">
        <v>6</v>
      </c>
      <c r="E274" s="64" t="s">
        <v>32</v>
      </c>
      <c r="F274" s="71" t="n">
        <f aca="false">Menu!D155</f>
        <v>300</v>
      </c>
      <c r="G274" s="64" t="s">
        <v>15</v>
      </c>
      <c r="H274" s="66" t="n">
        <f aca="false">F274/INDEX(Valeurs!$B$2:$B$40,MATCH(E274,Valeurs!$A$2:$A$40,0))*INDEX(Valeurs!$D$2:$D$40,MATCH(E274,Valeurs!$A$2:$A$40,0))</f>
        <v>258</v>
      </c>
      <c r="I274" s="72" t="n">
        <f aca="false">F274/INDEX(Valeurs!$B$2:$B$40,MATCH(E274,Valeurs!$A$2:$A$40,0))*INDEX(Valeurs!$E$2:$E$40,MATCH(E274,Valeurs!$A$2:$A$40,0))</f>
        <v>4.8</v>
      </c>
      <c r="J274" s="64" t="n">
        <v>2</v>
      </c>
    </row>
    <row r="275" customFormat="false" ht="15" hidden="false" customHeight="false" outlineLevel="0" collapsed="false">
      <c r="A275" s="70" t="n">
        <v>46302</v>
      </c>
      <c r="B275" s="64" t="s">
        <v>23</v>
      </c>
      <c r="C275" s="64" t="s">
        <v>70</v>
      </c>
      <c r="D275" s="64" t="s">
        <v>7</v>
      </c>
      <c r="E275" s="64" t="s">
        <v>32</v>
      </c>
      <c r="F275" s="71" t="n">
        <f aca="false">Menu!E155</f>
        <v>140</v>
      </c>
      <c r="G275" s="64" t="s">
        <v>15</v>
      </c>
      <c r="H275" s="66" t="n">
        <f aca="false">F275/INDEX(Valeurs!$B$2:$B$40,MATCH(E275,Valeurs!$A$2:$A$40,0))*INDEX(Valeurs!$D$2:$D$40,MATCH(E275,Valeurs!$A$2:$A$40,0))</f>
        <v>120.4</v>
      </c>
      <c r="I275" s="72" t="n">
        <f aca="false">F275/INDEX(Valeurs!$B$2:$B$40,MATCH(E275,Valeurs!$A$2:$A$40,0))*INDEX(Valeurs!$E$2:$E$40,MATCH(E275,Valeurs!$A$2:$A$40,0))</f>
        <v>2.24</v>
      </c>
      <c r="J275" s="64" t="n">
        <v>2</v>
      </c>
    </row>
    <row r="276" customFormat="false" ht="15" hidden="false" customHeight="false" outlineLevel="0" collapsed="false">
      <c r="A276" s="70" t="n">
        <v>46302</v>
      </c>
      <c r="B276" s="64" t="s">
        <v>23</v>
      </c>
      <c r="C276" s="64" t="s">
        <v>70</v>
      </c>
      <c r="D276" s="64" t="s">
        <v>6</v>
      </c>
      <c r="E276" s="64" t="s">
        <v>27</v>
      </c>
      <c r="F276" s="71" t="n">
        <f aca="false">Menu!D156</f>
        <v>250</v>
      </c>
      <c r="G276" s="64" t="s">
        <v>15</v>
      </c>
      <c r="H276" s="66" t="n">
        <f aca="false">F276/INDEX(Valeurs!$B$2:$B$40,MATCH(E276,Valeurs!$A$2:$A$40,0))*INDEX(Valeurs!$D$2:$D$40,MATCH(E276,Valeurs!$A$2:$A$40,0))</f>
        <v>77.5</v>
      </c>
      <c r="I276" s="72" t="n">
        <f aca="false">F276/INDEX(Valeurs!$B$2:$B$40,MATCH(E276,Valeurs!$A$2:$A$40,0))*INDEX(Valeurs!$E$2:$E$40,MATCH(E276,Valeurs!$A$2:$A$40,0))</f>
        <v>4.5</v>
      </c>
      <c r="J276" s="64" t="n">
        <v>2</v>
      </c>
    </row>
    <row r="277" customFormat="false" ht="15" hidden="false" customHeight="false" outlineLevel="0" collapsed="false">
      <c r="A277" s="70" t="n">
        <v>46302</v>
      </c>
      <c r="B277" s="64" t="s">
        <v>23</v>
      </c>
      <c r="C277" s="64" t="s">
        <v>70</v>
      </c>
      <c r="D277" s="64" t="s">
        <v>7</v>
      </c>
      <c r="E277" s="64" t="s">
        <v>27</v>
      </c>
      <c r="F277" s="71" t="n">
        <f aca="false">Menu!E156</f>
        <v>280</v>
      </c>
      <c r="G277" s="64" t="s">
        <v>15</v>
      </c>
      <c r="H277" s="66" t="n">
        <f aca="false">F277/INDEX(Valeurs!$B$2:$B$40,MATCH(E277,Valeurs!$A$2:$A$40,0))*INDEX(Valeurs!$D$2:$D$40,MATCH(E277,Valeurs!$A$2:$A$40,0))</f>
        <v>86.8</v>
      </c>
      <c r="I277" s="72" t="n">
        <f aca="false">F277/INDEX(Valeurs!$B$2:$B$40,MATCH(E277,Valeurs!$A$2:$A$40,0))*INDEX(Valeurs!$E$2:$E$40,MATCH(E277,Valeurs!$A$2:$A$40,0))</f>
        <v>5.04</v>
      </c>
      <c r="J277" s="64" t="n">
        <v>2</v>
      </c>
    </row>
    <row r="278" customFormat="false" ht="15" hidden="false" customHeight="false" outlineLevel="0" collapsed="false">
      <c r="A278" s="70" t="n">
        <v>46302</v>
      </c>
      <c r="B278" s="64" t="s">
        <v>23</v>
      </c>
      <c r="C278" s="64" t="s">
        <v>70</v>
      </c>
      <c r="D278" s="64" t="s">
        <v>6</v>
      </c>
      <c r="E278" s="64" t="s">
        <v>28</v>
      </c>
      <c r="F278" s="71" t="n">
        <f aca="false">Menu!D157</f>
        <v>10</v>
      </c>
      <c r="G278" s="64" t="s">
        <v>15</v>
      </c>
      <c r="H278" s="66" t="n">
        <f aca="false">F278/INDEX(Valeurs!$B$2:$B$40,MATCH(E278,Valeurs!$A$2:$A$40,0))*INDEX(Valeurs!$D$2:$D$40,MATCH(E278,Valeurs!$A$2:$A$40,0))</f>
        <v>90</v>
      </c>
      <c r="I278" s="72" t="n">
        <f aca="false">F278/INDEX(Valeurs!$B$2:$B$40,MATCH(E278,Valeurs!$A$2:$A$40,0))*INDEX(Valeurs!$E$2:$E$40,MATCH(E278,Valeurs!$A$2:$A$40,0))</f>
        <v>0</v>
      </c>
      <c r="J278" s="64" t="n">
        <v>2</v>
      </c>
    </row>
    <row r="279" customFormat="false" ht="15" hidden="false" customHeight="false" outlineLevel="0" collapsed="false">
      <c r="A279" s="70" t="n">
        <v>46302</v>
      </c>
      <c r="B279" s="64" t="s">
        <v>23</v>
      </c>
      <c r="C279" s="64" t="s">
        <v>70</v>
      </c>
      <c r="D279" s="64" t="s">
        <v>7</v>
      </c>
      <c r="E279" s="64" t="s">
        <v>28</v>
      </c>
      <c r="F279" s="71" t="n">
        <f aca="false">Menu!E157</f>
        <v>7</v>
      </c>
      <c r="G279" s="64" t="s">
        <v>15</v>
      </c>
      <c r="H279" s="66" t="n">
        <f aca="false">F279/INDEX(Valeurs!$B$2:$B$40,MATCH(E279,Valeurs!$A$2:$A$40,0))*INDEX(Valeurs!$D$2:$D$40,MATCH(E279,Valeurs!$A$2:$A$40,0))</f>
        <v>63</v>
      </c>
      <c r="I279" s="72" t="n">
        <f aca="false">F279/INDEX(Valeurs!$B$2:$B$40,MATCH(E279,Valeurs!$A$2:$A$40,0))*INDEX(Valeurs!$E$2:$E$40,MATCH(E279,Valeurs!$A$2:$A$40,0))</f>
        <v>0</v>
      </c>
      <c r="J279" s="64" t="n">
        <v>2</v>
      </c>
    </row>
    <row r="280" customFormat="false" ht="15" hidden="false" customHeight="false" outlineLevel="0" collapsed="false">
      <c r="A280" s="70" t="n">
        <v>46302</v>
      </c>
      <c r="B280" s="64" t="s">
        <v>29</v>
      </c>
      <c r="C280" s="64" t="s">
        <v>71</v>
      </c>
      <c r="D280" s="64" t="s">
        <v>6</v>
      </c>
      <c r="E280" s="64" t="s">
        <v>25</v>
      </c>
      <c r="F280" s="71" t="n">
        <f aca="false">Menu!D158</f>
        <v>150</v>
      </c>
      <c r="G280" s="64" t="s">
        <v>15</v>
      </c>
      <c r="H280" s="66" t="n">
        <f aca="false">F280/INDEX(Valeurs!$B$2:$B$40,MATCH(E280,Valeurs!$A$2:$A$40,0))*INDEX(Valeurs!$D$2:$D$40,MATCH(E280,Valeurs!$A$2:$A$40,0))</f>
        <v>172.5</v>
      </c>
      <c r="I280" s="72" t="n">
        <f aca="false">F280/INDEX(Valeurs!$B$2:$B$40,MATCH(E280,Valeurs!$A$2:$A$40,0))*INDEX(Valeurs!$E$2:$E$40,MATCH(E280,Valeurs!$A$2:$A$40,0))</f>
        <v>34.5</v>
      </c>
      <c r="J280" s="64" t="n">
        <v>2</v>
      </c>
    </row>
    <row r="281" customFormat="false" ht="15" hidden="false" customHeight="false" outlineLevel="0" collapsed="false">
      <c r="A281" s="70" t="n">
        <v>46302</v>
      </c>
      <c r="B281" s="64" t="s">
        <v>29</v>
      </c>
      <c r="C281" s="64" t="s">
        <v>71</v>
      </c>
      <c r="D281" s="64" t="s">
        <v>7</v>
      </c>
      <c r="E281" s="64" t="s">
        <v>25</v>
      </c>
      <c r="F281" s="71" t="n">
        <f aca="false">Menu!E158</f>
        <v>120</v>
      </c>
      <c r="G281" s="64" t="s">
        <v>15</v>
      </c>
      <c r="H281" s="66" t="n">
        <f aca="false">F281/INDEX(Valeurs!$B$2:$B$40,MATCH(E281,Valeurs!$A$2:$A$40,0))*INDEX(Valeurs!$D$2:$D$40,MATCH(E281,Valeurs!$A$2:$A$40,0))</f>
        <v>138</v>
      </c>
      <c r="I281" s="72" t="n">
        <f aca="false">F281/INDEX(Valeurs!$B$2:$B$40,MATCH(E281,Valeurs!$A$2:$A$40,0))*INDEX(Valeurs!$E$2:$E$40,MATCH(E281,Valeurs!$A$2:$A$40,0))</f>
        <v>27.6</v>
      </c>
      <c r="J281" s="64" t="n">
        <v>2</v>
      </c>
    </row>
    <row r="282" customFormat="false" ht="15" hidden="false" customHeight="false" outlineLevel="0" collapsed="false">
      <c r="A282" s="70" t="n">
        <v>46302</v>
      </c>
      <c r="B282" s="64" t="s">
        <v>29</v>
      </c>
      <c r="C282" s="64" t="s">
        <v>71</v>
      </c>
      <c r="D282" s="64" t="s">
        <v>6</v>
      </c>
      <c r="E282" s="64" t="s">
        <v>72</v>
      </c>
      <c r="F282" s="71" t="n">
        <f aca="false">Menu!D159</f>
        <v>100</v>
      </c>
      <c r="G282" s="64" t="s">
        <v>15</v>
      </c>
      <c r="H282" s="66" t="n">
        <f aca="false">F282/INDEX(Valeurs!$B$2:$B$40,MATCH(E282,Valeurs!$A$2:$A$40,0))*INDEX(Valeurs!$D$2:$D$40,MATCH(E282,Valeurs!$A$2:$A$40,0))</f>
        <v>25</v>
      </c>
      <c r="I282" s="72" t="n">
        <f aca="false">F282/INDEX(Valeurs!$B$2:$B$40,MATCH(E282,Valeurs!$A$2:$A$40,0))*INDEX(Valeurs!$E$2:$E$40,MATCH(E282,Valeurs!$A$2:$A$40,0))</f>
        <v>1</v>
      </c>
      <c r="J282" s="64" t="n">
        <v>2</v>
      </c>
    </row>
    <row r="283" customFormat="false" ht="15" hidden="false" customHeight="false" outlineLevel="0" collapsed="false">
      <c r="A283" s="70" t="n">
        <v>46302</v>
      </c>
      <c r="B283" s="64" t="s">
        <v>29</v>
      </c>
      <c r="C283" s="64" t="s">
        <v>71</v>
      </c>
      <c r="D283" s="64" t="s">
        <v>7</v>
      </c>
      <c r="E283" s="64" t="s">
        <v>72</v>
      </c>
      <c r="F283" s="71" t="n">
        <f aca="false">Menu!E159</f>
        <v>120</v>
      </c>
      <c r="G283" s="64" t="s">
        <v>15</v>
      </c>
      <c r="H283" s="66" t="n">
        <f aca="false">F283/INDEX(Valeurs!$B$2:$B$40,MATCH(E283,Valeurs!$A$2:$A$40,0))*INDEX(Valeurs!$D$2:$D$40,MATCH(E283,Valeurs!$A$2:$A$40,0))</f>
        <v>30</v>
      </c>
      <c r="I283" s="72" t="n">
        <f aca="false">F283/INDEX(Valeurs!$B$2:$B$40,MATCH(E283,Valeurs!$A$2:$A$40,0))*INDEX(Valeurs!$E$2:$E$40,MATCH(E283,Valeurs!$A$2:$A$40,0))</f>
        <v>1.2</v>
      </c>
      <c r="J283" s="64" t="n">
        <v>2</v>
      </c>
    </row>
    <row r="284" customFormat="false" ht="15" hidden="false" customHeight="false" outlineLevel="0" collapsed="false">
      <c r="A284" s="70" t="n">
        <v>46302</v>
      </c>
      <c r="B284" s="64" t="s">
        <v>29</v>
      </c>
      <c r="C284" s="64" t="s">
        <v>71</v>
      </c>
      <c r="D284" s="64" t="s">
        <v>6</v>
      </c>
      <c r="E284" s="64" t="s">
        <v>33</v>
      </c>
      <c r="F284" s="71" t="n">
        <f aca="false">Menu!D160</f>
        <v>100</v>
      </c>
      <c r="G284" s="64" t="s">
        <v>15</v>
      </c>
      <c r="H284" s="66" t="n">
        <f aca="false">F284/INDEX(Valeurs!$B$2:$B$40,MATCH(E284,Valeurs!$A$2:$A$40,0))*INDEX(Valeurs!$D$2:$D$40,MATCH(E284,Valeurs!$A$2:$A$40,0))</f>
        <v>17</v>
      </c>
      <c r="I284" s="72" t="n">
        <f aca="false">F284/INDEX(Valeurs!$B$2:$B$40,MATCH(E284,Valeurs!$A$2:$A$40,0))*INDEX(Valeurs!$E$2:$E$40,MATCH(E284,Valeurs!$A$2:$A$40,0))</f>
        <v>1.2</v>
      </c>
      <c r="J284" s="64" t="n">
        <v>2</v>
      </c>
    </row>
    <row r="285" customFormat="false" ht="15" hidden="false" customHeight="false" outlineLevel="0" collapsed="false">
      <c r="A285" s="70" t="n">
        <v>46302</v>
      </c>
      <c r="B285" s="64" t="s">
        <v>29</v>
      </c>
      <c r="C285" s="64" t="s">
        <v>71</v>
      </c>
      <c r="D285" s="64" t="s">
        <v>7</v>
      </c>
      <c r="E285" s="64" t="s">
        <v>33</v>
      </c>
      <c r="F285" s="71" t="n">
        <f aca="false">Menu!E160</f>
        <v>120</v>
      </c>
      <c r="G285" s="64" t="s">
        <v>15</v>
      </c>
      <c r="H285" s="66" t="n">
        <f aca="false">F285/INDEX(Valeurs!$B$2:$B$40,MATCH(E285,Valeurs!$A$2:$A$40,0))*INDEX(Valeurs!$D$2:$D$40,MATCH(E285,Valeurs!$A$2:$A$40,0))</f>
        <v>20.4</v>
      </c>
      <c r="I285" s="72" t="n">
        <f aca="false">F285/INDEX(Valeurs!$B$2:$B$40,MATCH(E285,Valeurs!$A$2:$A$40,0))*INDEX(Valeurs!$E$2:$E$40,MATCH(E285,Valeurs!$A$2:$A$40,0))</f>
        <v>1.44</v>
      </c>
      <c r="J285" s="64" t="n">
        <v>2</v>
      </c>
    </row>
    <row r="286" customFormat="false" ht="15" hidden="false" customHeight="false" outlineLevel="0" collapsed="false">
      <c r="A286" s="70" t="n">
        <v>46302</v>
      </c>
      <c r="B286" s="64" t="s">
        <v>29</v>
      </c>
      <c r="C286" s="64" t="s">
        <v>71</v>
      </c>
      <c r="D286" s="64" t="s">
        <v>6</v>
      </c>
      <c r="E286" s="64" t="s">
        <v>34</v>
      </c>
      <c r="F286" s="71" t="n">
        <f aca="false">Menu!D161</f>
        <v>40</v>
      </c>
      <c r="G286" s="64" t="s">
        <v>15</v>
      </c>
      <c r="H286" s="66" t="n">
        <f aca="false">F286/INDEX(Valeurs!$B$2:$B$40,MATCH(E286,Valeurs!$A$2:$A$40,0))*INDEX(Valeurs!$D$2:$D$40,MATCH(E286,Valeurs!$A$2:$A$40,0))</f>
        <v>10.8</v>
      </c>
      <c r="I286" s="72" t="n">
        <f aca="false">F286/INDEX(Valeurs!$B$2:$B$40,MATCH(E286,Valeurs!$A$2:$A$40,0))*INDEX(Valeurs!$E$2:$E$40,MATCH(E286,Valeurs!$A$2:$A$40,0))</f>
        <v>0.4</v>
      </c>
      <c r="J286" s="64" t="n">
        <v>2</v>
      </c>
    </row>
    <row r="287" customFormat="false" ht="15" hidden="false" customHeight="false" outlineLevel="0" collapsed="false">
      <c r="A287" s="70" t="n">
        <v>46302</v>
      </c>
      <c r="B287" s="64" t="s">
        <v>29</v>
      </c>
      <c r="C287" s="64" t="s">
        <v>71</v>
      </c>
      <c r="D287" s="64" t="s">
        <v>7</v>
      </c>
      <c r="E287" s="64" t="s">
        <v>34</v>
      </c>
      <c r="F287" s="71" t="n">
        <f aca="false">Menu!E161</f>
        <v>50</v>
      </c>
      <c r="G287" s="64" t="s">
        <v>15</v>
      </c>
      <c r="H287" s="66" t="n">
        <f aca="false">F287/INDEX(Valeurs!$B$2:$B$40,MATCH(E287,Valeurs!$A$2:$A$40,0))*INDEX(Valeurs!$D$2:$D$40,MATCH(E287,Valeurs!$A$2:$A$40,0))</f>
        <v>13.5</v>
      </c>
      <c r="I287" s="72" t="n">
        <f aca="false">F287/INDEX(Valeurs!$B$2:$B$40,MATCH(E287,Valeurs!$A$2:$A$40,0))*INDEX(Valeurs!$E$2:$E$40,MATCH(E287,Valeurs!$A$2:$A$40,0))</f>
        <v>0.5</v>
      </c>
      <c r="J287" s="64" t="n">
        <v>2</v>
      </c>
    </row>
    <row r="288" customFormat="false" ht="15" hidden="false" customHeight="false" outlineLevel="0" collapsed="false">
      <c r="A288" s="70" t="n">
        <v>46302</v>
      </c>
      <c r="B288" s="64" t="s">
        <v>29</v>
      </c>
      <c r="C288" s="64" t="s">
        <v>71</v>
      </c>
      <c r="D288" s="64" t="s">
        <v>6</v>
      </c>
      <c r="E288" s="64" t="s">
        <v>20</v>
      </c>
      <c r="F288" s="71" t="n">
        <f aca="false">Menu!D162</f>
        <v>100</v>
      </c>
      <c r="G288" s="64" t="s">
        <v>15</v>
      </c>
      <c r="H288" s="66" t="n">
        <f aca="false">F288/INDEX(Valeurs!$B$2:$B$40,MATCH(E288,Valeurs!$A$2:$A$40,0))*INDEX(Valeurs!$D$2:$D$40,MATCH(E288,Valeurs!$A$2:$A$40,0))</f>
        <v>18</v>
      </c>
      <c r="I288" s="72" t="n">
        <f aca="false">F288/INDEX(Valeurs!$B$2:$B$40,MATCH(E288,Valeurs!$A$2:$A$40,0))*INDEX(Valeurs!$E$2:$E$40,MATCH(E288,Valeurs!$A$2:$A$40,0))</f>
        <v>0.9</v>
      </c>
      <c r="J288" s="64" t="n">
        <v>2</v>
      </c>
    </row>
    <row r="289" customFormat="false" ht="15" hidden="false" customHeight="false" outlineLevel="0" collapsed="false">
      <c r="A289" s="70" t="n">
        <v>46302</v>
      </c>
      <c r="B289" s="64" t="s">
        <v>29</v>
      </c>
      <c r="C289" s="64" t="s">
        <v>71</v>
      </c>
      <c r="D289" s="64" t="s">
        <v>7</v>
      </c>
      <c r="E289" s="64" t="s">
        <v>20</v>
      </c>
      <c r="F289" s="71" t="n">
        <f aca="false">Menu!E162</f>
        <v>120</v>
      </c>
      <c r="G289" s="64" t="s">
        <v>15</v>
      </c>
      <c r="H289" s="66" t="n">
        <f aca="false">F289/INDEX(Valeurs!$B$2:$B$40,MATCH(E289,Valeurs!$A$2:$A$40,0))*INDEX(Valeurs!$D$2:$D$40,MATCH(E289,Valeurs!$A$2:$A$40,0))</f>
        <v>21.6</v>
      </c>
      <c r="I289" s="72" t="n">
        <f aca="false">F289/INDEX(Valeurs!$B$2:$B$40,MATCH(E289,Valeurs!$A$2:$A$40,0))*INDEX(Valeurs!$E$2:$E$40,MATCH(E289,Valeurs!$A$2:$A$40,0))</f>
        <v>1.08</v>
      </c>
      <c r="J289" s="64" t="n">
        <v>2</v>
      </c>
    </row>
    <row r="290" customFormat="false" ht="15" hidden="false" customHeight="false" outlineLevel="0" collapsed="false">
      <c r="A290" s="70" t="n">
        <v>46302</v>
      </c>
      <c r="B290" s="64" t="s">
        <v>29</v>
      </c>
      <c r="C290" s="64" t="s">
        <v>71</v>
      </c>
      <c r="D290" s="64" t="s">
        <v>6</v>
      </c>
      <c r="E290" s="64" t="s">
        <v>35</v>
      </c>
      <c r="F290" s="71" t="n">
        <f aca="false">Menu!D163</f>
        <v>30</v>
      </c>
      <c r="G290" s="64" t="s">
        <v>15</v>
      </c>
      <c r="H290" s="66" t="n">
        <f aca="false">F290/INDEX(Valeurs!$B$2:$B$40,MATCH(E290,Valeurs!$A$2:$A$40,0))*INDEX(Valeurs!$D$2:$D$40,MATCH(E290,Valeurs!$A$2:$A$40,0))</f>
        <v>12</v>
      </c>
      <c r="I290" s="72" t="n">
        <f aca="false">F290/INDEX(Valeurs!$B$2:$B$40,MATCH(E290,Valeurs!$A$2:$A$40,0))*INDEX(Valeurs!$E$2:$E$40,MATCH(E290,Valeurs!$A$2:$A$40,0))</f>
        <v>0.33</v>
      </c>
      <c r="J290" s="64" t="n">
        <v>2</v>
      </c>
    </row>
    <row r="291" customFormat="false" ht="15" hidden="false" customHeight="false" outlineLevel="0" collapsed="false">
      <c r="A291" s="70" t="n">
        <v>46302</v>
      </c>
      <c r="B291" s="64" t="s">
        <v>29</v>
      </c>
      <c r="C291" s="64" t="s">
        <v>71</v>
      </c>
      <c r="D291" s="64" t="s">
        <v>7</v>
      </c>
      <c r="E291" s="64" t="s">
        <v>35</v>
      </c>
      <c r="F291" s="71" t="n">
        <f aca="false">Menu!E163</f>
        <v>30</v>
      </c>
      <c r="G291" s="64" t="s">
        <v>15</v>
      </c>
      <c r="H291" s="66" t="n">
        <f aca="false">F291/INDEX(Valeurs!$B$2:$B$40,MATCH(E291,Valeurs!$A$2:$A$40,0))*INDEX(Valeurs!$D$2:$D$40,MATCH(E291,Valeurs!$A$2:$A$40,0))</f>
        <v>12</v>
      </c>
      <c r="I291" s="72" t="n">
        <f aca="false">F291/INDEX(Valeurs!$B$2:$B$40,MATCH(E291,Valeurs!$A$2:$A$40,0))*INDEX(Valeurs!$E$2:$E$40,MATCH(E291,Valeurs!$A$2:$A$40,0))</f>
        <v>0.33</v>
      </c>
      <c r="J291" s="64" t="n">
        <v>2</v>
      </c>
    </row>
    <row r="292" customFormat="false" ht="15" hidden="false" customHeight="false" outlineLevel="0" collapsed="false">
      <c r="A292" s="70" t="n">
        <v>46302</v>
      </c>
      <c r="B292" s="64" t="s">
        <v>29</v>
      </c>
      <c r="C292" s="64" t="s">
        <v>71</v>
      </c>
      <c r="D292" s="64" t="s">
        <v>6</v>
      </c>
      <c r="E292" s="64" t="s">
        <v>26</v>
      </c>
      <c r="F292" s="71" t="n">
        <f aca="false">Menu!D164</f>
        <v>300</v>
      </c>
      <c r="G292" s="64" t="s">
        <v>15</v>
      </c>
      <c r="H292" s="66" t="n">
        <f aca="false">F292/INDEX(Valeurs!$B$2:$B$40,MATCH(E292,Valeurs!$A$2:$A$40,0))*INDEX(Valeurs!$D$2:$D$40,MATCH(E292,Valeurs!$A$2:$A$40,0))</f>
        <v>240</v>
      </c>
      <c r="I292" s="72" t="n">
        <f aca="false">F292/INDEX(Valeurs!$B$2:$B$40,MATCH(E292,Valeurs!$A$2:$A$40,0))*INDEX(Valeurs!$E$2:$E$40,MATCH(E292,Valeurs!$A$2:$A$40,0))</f>
        <v>6</v>
      </c>
      <c r="J292" s="64" t="n">
        <v>2</v>
      </c>
    </row>
    <row r="293" customFormat="false" ht="15" hidden="false" customHeight="false" outlineLevel="0" collapsed="false">
      <c r="A293" s="70" t="n">
        <v>46302</v>
      </c>
      <c r="B293" s="64" t="s">
        <v>29</v>
      </c>
      <c r="C293" s="64" t="s">
        <v>71</v>
      </c>
      <c r="D293" s="64" t="s">
        <v>7</v>
      </c>
      <c r="E293" s="64" t="s">
        <v>26</v>
      </c>
      <c r="F293" s="71" t="n">
        <f aca="false">Menu!E164</f>
        <v>140</v>
      </c>
      <c r="G293" s="64" t="s">
        <v>15</v>
      </c>
      <c r="H293" s="66" t="n">
        <f aca="false">F293/INDEX(Valeurs!$B$2:$B$40,MATCH(E293,Valeurs!$A$2:$A$40,0))*INDEX(Valeurs!$D$2:$D$40,MATCH(E293,Valeurs!$A$2:$A$40,0))</f>
        <v>112</v>
      </c>
      <c r="I293" s="72" t="n">
        <f aca="false">F293/INDEX(Valeurs!$B$2:$B$40,MATCH(E293,Valeurs!$A$2:$A$40,0))*INDEX(Valeurs!$E$2:$E$40,MATCH(E293,Valeurs!$A$2:$A$40,0))</f>
        <v>2.8</v>
      </c>
      <c r="J293" s="64" t="n">
        <v>2</v>
      </c>
    </row>
    <row r="294" customFormat="false" ht="15" hidden="false" customHeight="false" outlineLevel="0" collapsed="false">
      <c r="A294" s="70" t="n">
        <v>46302</v>
      </c>
      <c r="B294" s="64" t="s">
        <v>29</v>
      </c>
      <c r="C294" s="64" t="s">
        <v>71</v>
      </c>
      <c r="D294" s="64" t="s">
        <v>6</v>
      </c>
      <c r="E294" s="64" t="s">
        <v>28</v>
      </c>
      <c r="F294" s="71" t="n">
        <f aca="false">Menu!D165</f>
        <v>12</v>
      </c>
      <c r="G294" s="64" t="s">
        <v>15</v>
      </c>
      <c r="H294" s="66" t="n">
        <f aca="false">F294/INDEX(Valeurs!$B$2:$B$40,MATCH(E294,Valeurs!$A$2:$A$40,0))*INDEX(Valeurs!$D$2:$D$40,MATCH(E294,Valeurs!$A$2:$A$40,0))</f>
        <v>108</v>
      </c>
      <c r="I294" s="72" t="n">
        <f aca="false">F294/INDEX(Valeurs!$B$2:$B$40,MATCH(E294,Valeurs!$A$2:$A$40,0))*INDEX(Valeurs!$E$2:$E$40,MATCH(E294,Valeurs!$A$2:$A$40,0))</f>
        <v>0</v>
      </c>
      <c r="J294" s="64" t="n">
        <v>2</v>
      </c>
    </row>
    <row r="295" customFormat="false" ht="15" hidden="false" customHeight="false" outlineLevel="0" collapsed="false">
      <c r="A295" s="70" t="n">
        <v>46302</v>
      </c>
      <c r="B295" s="64" t="s">
        <v>29</v>
      </c>
      <c r="C295" s="64" t="s">
        <v>71</v>
      </c>
      <c r="D295" s="64" t="s">
        <v>7</v>
      </c>
      <c r="E295" s="64" t="s">
        <v>28</v>
      </c>
      <c r="F295" s="71" t="n">
        <f aca="false">Menu!E165</f>
        <v>8</v>
      </c>
      <c r="G295" s="64" t="s">
        <v>15</v>
      </c>
      <c r="H295" s="66" t="n">
        <f aca="false">F295/INDEX(Valeurs!$B$2:$B$40,MATCH(E295,Valeurs!$A$2:$A$40,0))*INDEX(Valeurs!$D$2:$D$40,MATCH(E295,Valeurs!$A$2:$A$40,0))</f>
        <v>72</v>
      </c>
      <c r="I295" s="72" t="n">
        <f aca="false">F295/INDEX(Valeurs!$B$2:$B$40,MATCH(E295,Valeurs!$A$2:$A$40,0))*INDEX(Valeurs!$E$2:$E$40,MATCH(E295,Valeurs!$A$2:$A$40,0))</f>
        <v>0</v>
      </c>
      <c r="J295" s="64" t="n">
        <v>2</v>
      </c>
    </row>
    <row r="296" customFormat="false" ht="15" hidden="false" customHeight="false" outlineLevel="0" collapsed="false">
      <c r="A296" s="70" t="n">
        <v>46302</v>
      </c>
      <c r="B296" s="64" t="s">
        <v>36</v>
      </c>
      <c r="C296" s="64" t="s">
        <v>73</v>
      </c>
      <c r="D296" s="64" t="s">
        <v>6</v>
      </c>
      <c r="E296" s="64" t="s">
        <v>73</v>
      </c>
      <c r="F296" s="71" t="n">
        <f aca="false">Menu!D166</f>
        <v>100</v>
      </c>
      <c r="G296" s="64" t="s">
        <v>15</v>
      </c>
      <c r="H296" s="66" t="n">
        <f aca="false">F296/INDEX(Valeurs!$B$2:$B$40,MATCH(E296,Valeurs!$A$2:$A$40,0))*INDEX(Valeurs!$D$2:$D$40,MATCH(E296,Valeurs!$A$2:$A$40,0))</f>
        <v>60</v>
      </c>
      <c r="I296" s="72" t="n">
        <f aca="false">F296/INDEX(Valeurs!$B$2:$B$40,MATCH(E296,Valeurs!$A$2:$A$40,0))*INDEX(Valeurs!$E$2:$E$40,MATCH(E296,Valeurs!$A$2:$A$40,0))</f>
        <v>0.8</v>
      </c>
      <c r="J296" s="64" t="n">
        <v>2</v>
      </c>
    </row>
    <row r="297" customFormat="false" ht="15" hidden="false" customHeight="false" outlineLevel="0" collapsed="false">
      <c r="A297" s="70" t="n">
        <v>46302</v>
      </c>
      <c r="B297" s="64" t="s">
        <v>36</v>
      </c>
      <c r="C297" s="64" t="s">
        <v>73</v>
      </c>
      <c r="D297" s="64" t="s">
        <v>7</v>
      </c>
      <c r="E297" s="64" t="s">
        <v>73</v>
      </c>
      <c r="F297" s="71" t="n">
        <f aca="false">Menu!E166</f>
        <v>80</v>
      </c>
      <c r="G297" s="64" t="s">
        <v>15</v>
      </c>
      <c r="H297" s="66" t="n">
        <f aca="false">F297/INDEX(Valeurs!$B$2:$B$40,MATCH(E297,Valeurs!$A$2:$A$40,0))*INDEX(Valeurs!$D$2:$D$40,MATCH(E297,Valeurs!$A$2:$A$40,0))</f>
        <v>48</v>
      </c>
      <c r="I297" s="72" t="n">
        <f aca="false">F297/INDEX(Valeurs!$B$2:$B$40,MATCH(E297,Valeurs!$A$2:$A$40,0))*INDEX(Valeurs!$E$2:$E$40,MATCH(E297,Valeurs!$A$2:$A$40,0))</f>
        <v>0.64</v>
      </c>
      <c r="J297" s="64" t="n">
        <v>2</v>
      </c>
    </row>
    <row r="298" customFormat="false" ht="15" hidden="false" customHeight="false" outlineLevel="0" collapsed="false">
      <c r="A298" s="70" t="n">
        <v>46303</v>
      </c>
      <c r="B298" s="64" t="s">
        <v>10</v>
      </c>
      <c r="C298" s="64" t="s">
        <v>11</v>
      </c>
      <c r="D298" s="64" t="s">
        <v>6</v>
      </c>
      <c r="E298" s="64" t="s">
        <v>12</v>
      </c>
      <c r="F298" s="71" t="n">
        <f aca="false">Menu!D169</f>
        <v>250</v>
      </c>
      <c r="G298" s="64" t="s">
        <v>13</v>
      </c>
      <c r="H298" s="66" t="n">
        <f aca="false">F298/INDEX(Valeurs!$B$2:$B$40,MATCH(E298,Valeurs!$A$2:$A$40,0))*INDEX(Valeurs!$D$2:$D$40,MATCH(E298,Valeurs!$A$2:$A$40,0))</f>
        <v>115</v>
      </c>
      <c r="I298" s="72" t="n">
        <f aca="false">F298/INDEX(Valeurs!$B$2:$B$40,MATCH(E298,Valeurs!$A$2:$A$40,0))*INDEX(Valeurs!$E$2:$E$40,MATCH(E298,Valeurs!$A$2:$A$40,0))</f>
        <v>8.25</v>
      </c>
      <c r="J298" s="64" t="n">
        <v>2</v>
      </c>
    </row>
    <row r="299" customFormat="false" ht="15" hidden="false" customHeight="false" outlineLevel="0" collapsed="false">
      <c r="A299" s="70" t="n">
        <v>46303</v>
      </c>
      <c r="B299" s="64" t="s">
        <v>10</v>
      </c>
      <c r="C299" s="64" t="s">
        <v>11</v>
      </c>
      <c r="D299" s="64" t="s">
        <v>7</v>
      </c>
      <c r="E299" s="64" t="s">
        <v>12</v>
      </c>
      <c r="F299" s="71" t="n">
        <f aca="false">Menu!E169</f>
        <v>0</v>
      </c>
      <c r="G299" s="64" t="s">
        <v>13</v>
      </c>
      <c r="H299" s="66" t="n">
        <f aca="false">F299/INDEX(Valeurs!$B$2:$B$40,MATCH(E299,Valeurs!$A$2:$A$40,0))*INDEX(Valeurs!$D$2:$D$40,MATCH(E299,Valeurs!$A$2:$A$40,0))</f>
        <v>0</v>
      </c>
      <c r="I299" s="72" t="n">
        <f aca="false">F299/INDEX(Valeurs!$B$2:$B$40,MATCH(E299,Valeurs!$A$2:$A$40,0))*INDEX(Valeurs!$E$2:$E$40,MATCH(E299,Valeurs!$A$2:$A$40,0))</f>
        <v>0</v>
      </c>
      <c r="J299" s="64" t="n">
        <v>2</v>
      </c>
    </row>
    <row r="300" customFormat="false" ht="15" hidden="false" customHeight="false" outlineLevel="0" collapsed="false">
      <c r="A300" s="70" t="n">
        <v>46303</v>
      </c>
      <c r="B300" s="64" t="s">
        <v>10</v>
      </c>
      <c r="C300" s="64" t="s">
        <v>11</v>
      </c>
      <c r="D300" s="64" t="s">
        <v>6</v>
      </c>
      <c r="E300" s="64" t="s">
        <v>14</v>
      </c>
      <c r="F300" s="71" t="n">
        <f aca="false">Menu!D170</f>
        <v>100</v>
      </c>
      <c r="G300" s="64" t="s">
        <v>15</v>
      </c>
      <c r="H300" s="66" t="n">
        <f aca="false">F300/INDEX(Valeurs!$B$2:$B$40,MATCH(E300,Valeurs!$A$2:$A$40,0))*INDEX(Valeurs!$D$2:$D$40,MATCH(E300,Valeurs!$A$2:$A$40,0))</f>
        <v>90</v>
      </c>
      <c r="I300" s="72" t="n">
        <f aca="false">F300/INDEX(Valeurs!$B$2:$B$40,MATCH(E300,Valeurs!$A$2:$A$40,0))*INDEX(Valeurs!$E$2:$E$40,MATCH(E300,Valeurs!$A$2:$A$40,0))</f>
        <v>1.1</v>
      </c>
      <c r="J300" s="64" t="n">
        <v>2</v>
      </c>
    </row>
    <row r="301" customFormat="false" ht="15" hidden="false" customHeight="false" outlineLevel="0" collapsed="false">
      <c r="A301" s="70" t="n">
        <v>46303</v>
      </c>
      <c r="B301" s="64" t="s">
        <v>10</v>
      </c>
      <c r="C301" s="64" t="s">
        <v>11</v>
      </c>
      <c r="D301" s="64" t="s">
        <v>7</v>
      </c>
      <c r="E301" s="64" t="s">
        <v>14</v>
      </c>
      <c r="F301" s="71" t="n">
        <f aca="false">Menu!E170</f>
        <v>0</v>
      </c>
      <c r="G301" s="64" t="s">
        <v>15</v>
      </c>
      <c r="H301" s="66" t="n">
        <f aca="false">F301/INDEX(Valeurs!$B$2:$B$40,MATCH(E301,Valeurs!$A$2:$A$40,0))*INDEX(Valeurs!$D$2:$D$40,MATCH(E301,Valeurs!$A$2:$A$40,0))</f>
        <v>0</v>
      </c>
      <c r="I301" s="72" t="n">
        <f aca="false">F301/INDEX(Valeurs!$B$2:$B$40,MATCH(E301,Valeurs!$A$2:$A$40,0))*INDEX(Valeurs!$E$2:$E$40,MATCH(E301,Valeurs!$A$2:$A$40,0))</f>
        <v>0</v>
      </c>
      <c r="J301" s="64" t="n">
        <v>2</v>
      </c>
    </row>
    <row r="302" customFormat="false" ht="15" hidden="false" customHeight="false" outlineLevel="0" collapsed="false">
      <c r="A302" s="70" t="n">
        <v>46303</v>
      </c>
      <c r="B302" s="64" t="s">
        <v>10</v>
      </c>
      <c r="C302" s="64" t="s">
        <v>11</v>
      </c>
      <c r="D302" s="64" t="s">
        <v>6</v>
      </c>
      <c r="E302" s="64" t="s">
        <v>16</v>
      </c>
      <c r="F302" s="71" t="n">
        <f aca="false">Menu!D171</f>
        <v>65</v>
      </c>
      <c r="G302" s="64" t="s">
        <v>15</v>
      </c>
      <c r="H302" s="66" t="n">
        <f aca="false">F302/INDEX(Valeurs!$B$2:$B$40,MATCH(E302,Valeurs!$A$2:$A$40,0))*INDEX(Valeurs!$D$2:$D$40,MATCH(E302,Valeurs!$A$2:$A$40,0))</f>
        <v>241.8</v>
      </c>
      <c r="I302" s="72" t="n">
        <f aca="false">F302/INDEX(Valeurs!$B$2:$B$40,MATCH(E302,Valeurs!$A$2:$A$40,0))*INDEX(Valeurs!$E$2:$E$40,MATCH(E302,Valeurs!$A$2:$A$40,0))</f>
        <v>8.775</v>
      </c>
      <c r="J302" s="64" t="n">
        <v>2</v>
      </c>
    </row>
    <row r="303" customFormat="false" ht="15" hidden="false" customHeight="false" outlineLevel="0" collapsed="false">
      <c r="A303" s="70" t="n">
        <v>46303</v>
      </c>
      <c r="B303" s="64" t="s">
        <v>10</v>
      </c>
      <c r="C303" s="64" t="s">
        <v>11</v>
      </c>
      <c r="D303" s="64" t="s">
        <v>7</v>
      </c>
      <c r="E303" s="64" t="s">
        <v>16</v>
      </c>
      <c r="F303" s="71" t="n">
        <f aca="false">Menu!E171</f>
        <v>0</v>
      </c>
      <c r="G303" s="64" t="s">
        <v>15</v>
      </c>
      <c r="H303" s="66" t="n">
        <f aca="false">F303/INDEX(Valeurs!$B$2:$B$40,MATCH(E303,Valeurs!$A$2:$A$40,0))*INDEX(Valeurs!$D$2:$D$40,MATCH(E303,Valeurs!$A$2:$A$40,0))</f>
        <v>0</v>
      </c>
      <c r="I303" s="72" t="n">
        <f aca="false">F303/INDEX(Valeurs!$B$2:$B$40,MATCH(E303,Valeurs!$A$2:$A$40,0))*INDEX(Valeurs!$E$2:$E$40,MATCH(E303,Valeurs!$A$2:$A$40,0))</f>
        <v>0</v>
      </c>
      <c r="J303" s="64" t="n">
        <v>2</v>
      </c>
    </row>
    <row r="304" customFormat="false" ht="15" hidden="false" customHeight="false" outlineLevel="0" collapsed="false">
      <c r="A304" s="70" t="n">
        <v>46303</v>
      </c>
      <c r="B304" s="64" t="s">
        <v>10</v>
      </c>
      <c r="C304" s="64" t="s">
        <v>11</v>
      </c>
      <c r="D304" s="64" t="s">
        <v>6</v>
      </c>
      <c r="E304" s="64" t="s">
        <v>17</v>
      </c>
      <c r="F304" s="71" t="n">
        <f aca="false">Menu!D172</f>
        <v>1</v>
      </c>
      <c r="G304" s="64" t="s">
        <v>171</v>
      </c>
      <c r="H304" s="66" t="n">
        <f aca="false">F304/INDEX(Valeurs!$B$2:$B$40,MATCH(E304,Valeurs!$A$2:$A$40,0))*INDEX(Valeurs!$D$2:$D$40,MATCH(E304,Valeurs!$A$2:$A$40,0))</f>
        <v>87</v>
      </c>
      <c r="I304" s="72" t="n">
        <f aca="false">F304/INDEX(Valeurs!$B$2:$B$40,MATCH(E304,Valeurs!$A$2:$A$40,0))*INDEX(Valeurs!$E$2:$E$40,MATCH(E304,Valeurs!$A$2:$A$40,0))</f>
        <v>7.5</v>
      </c>
      <c r="J304" s="64" t="n">
        <v>2</v>
      </c>
    </row>
    <row r="305" customFormat="false" ht="15" hidden="false" customHeight="false" outlineLevel="0" collapsed="false">
      <c r="A305" s="70" t="n">
        <v>46303</v>
      </c>
      <c r="B305" s="64" t="s">
        <v>10</v>
      </c>
      <c r="C305" s="64" t="s">
        <v>11</v>
      </c>
      <c r="D305" s="64" t="s">
        <v>7</v>
      </c>
      <c r="E305" s="64" t="s">
        <v>17</v>
      </c>
      <c r="F305" s="71" t="n">
        <f aca="false">Menu!E172</f>
        <v>2</v>
      </c>
      <c r="G305" s="64" t="s">
        <v>171</v>
      </c>
      <c r="H305" s="66" t="n">
        <f aca="false">F305/INDEX(Valeurs!$B$2:$B$40,MATCH(E305,Valeurs!$A$2:$A$40,0))*INDEX(Valeurs!$D$2:$D$40,MATCH(E305,Valeurs!$A$2:$A$40,0))</f>
        <v>174</v>
      </c>
      <c r="I305" s="72" t="n">
        <f aca="false">F305/INDEX(Valeurs!$B$2:$B$40,MATCH(E305,Valeurs!$A$2:$A$40,0))*INDEX(Valeurs!$E$2:$E$40,MATCH(E305,Valeurs!$A$2:$A$40,0))</f>
        <v>15</v>
      </c>
      <c r="J305" s="64" t="n">
        <v>2</v>
      </c>
    </row>
    <row r="306" customFormat="false" ht="15" hidden="false" customHeight="false" outlineLevel="0" collapsed="false">
      <c r="A306" s="70" t="n">
        <v>46303</v>
      </c>
      <c r="B306" s="64" t="s">
        <v>10</v>
      </c>
      <c r="C306" s="64" t="s">
        <v>11</v>
      </c>
      <c r="D306" s="64" t="s">
        <v>6</v>
      </c>
      <c r="E306" s="64" t="s">
        <v>19</v>
      </c>
      <c r="F306" s="71" t="n">
        <f aca="false">Menu!D173</f>
        <v>0</v>
      </c>
      <c r="G306" s="64" t="s">
        <v>15</v>
      </c>
      <c r="H306" s="66" t="n">
        <f aca="false">F306/INDEX(Valeurs!$B$2:$B$40,MATCH(E306,Valeurs!$A$2:$A$40,0))*INDEX(Valeurs!$D$2:$D$40,MATCH(E306,Valeurs!$A$2:$A$40,0))</f>
        <v>0</v>
      </c>
      <c r="I306" s="72" t="n">
        <f aca="false">F306/INDEX(Valeurs!$B$2:$B$40,MATCH(E306,Valeurs!$A$2:$A$40,0))*INDEX(Valeurs!$E$2:$E$40,MATCH(E306,Valeurs!$A$2:$A$40,0))</f>
        <v>0</v>
      </c>
      <c r="J306" s="64" t="n">
        <v>2</v>
      </c>
    </row>
    <row r="307" customFormat="false" ht="15" hidden="false" customHeight="false" outlineLevel="0" collapsed="false">
      <c r="A307" s="70" t="n">
        <v>46303</v>
      </c>
      <c r="B307" s="64" t="s">
        <v>10</v>
      </c>
      <c r="C307" s="64" t="s">
        <v>11</v>
      </c>
      <c r="D307" s="64" t="s">
        <v>7</v>
      </c>
      <c r="E307" s="64" t="s">
        <v>19</v>
      </c>
      <c r="F307" s="71" t="n">
        <f aca="false">Menu!E173</f>
        <v>30</v>
      </c>
      <c r="G307" s="64" t="s">
        <v>15</v>
      </c>
      <c r="H307" s="66" t="n">
        <f aca="false">F307/INDEX(Valeurs!$B$2:$B$40,MATCH(E307,Valeurs!$A$2:$A$40,0))*INDEX(Valeurs!$D$2:$D$40,MATCH(E307,Valeurs!$A$2:$A$40,0))</f>
        <v>33</v>
      </c>
      <c r="I307" s="72" t="n">
        <f aca="false">F307/INDEX(Valeurs!$B$2:$B$40,MATCH(E307,Valeurs!$A$2:$A$40,0))*INDEX(Valeurs!$E$2:$E$40,MATCH(E307,Valeurs!$A$2:$A$40,0))</f>
        <v>6</v>
      </c>
      <c r="J307" s="64" t="n">
        <v>2</v>
      </c>
    </row>
    <row r="308" customFormat="false" ht="15" hidden="false" customHeight="false" outlineLevel="0" collapsed="false">
      <c r="A308" s="70" t="n">
        <v>46303</v>
      </c>
      <c r="B308" s="64" t="s">
        <v>10</v>
      </c>
      <c r="C308" s="64" t="s">
        <v>11</v>
      </c>
      <c r="D308" s="64" t="s">
        <v>6</v>
      </c>
      <c r="E308" s="64" t="s">
        <v>20</v>
      </c>
      <c r="F308" s="71" t="n">
        <f aca="false">Menu!D174</f>
        <v>0</v>
      </c>
      <c r="G308" s="64" t="s">
        <v>15</v>
      </c>
      <c r="H308" s="66" t="n">
        <f aca="false">F308/INDEX(Valeurs!$B$2:$B$40,MATCH(E308,Valeurs!$A$2:$A$40,0))*INDEX(Valeurs!$D$2:$D$40,MATCH(E308,Valeurs!$A$2:$A$40,0))</f>
        <v>0</v>
      </c>
      <c r="I308" s="72" t="n">
        <f aca="false">F308/INDEX(Valeurs!$B$2:$B$40,MATCH(E308,Valeurs!$A$2:$A$40,0))*INDEX(Valeurs!$E$2:$E$40,MATCH(E308,Valeurs!$A$2:$A$40,0))</f>
        <v>0</v>
      </c>
      <c r="J308" s="64" t="n">
        <v>2</v>
      </c>
    </row>
    <row r="309" customFormat="false" ht="15" hidden="false" customHeight="false" outlineLevel="0" collapsed="false">
      <c r="A309" s="70" t="n">
        <v>46303</v>
      </c>
      <c r="B309" s="64" t="s">
        <v>10</v>
      </c>
      <c r="C309" s="64" t="s">
        <v>11</v>
      </c>
      <c r="D309" s="64" t="s">
        <v>7</v>
      </c>
      <c r="E309" s="64" t="s">
        <v>20</v>
      </c>
      <c r="F309" s="71" t="n">
        <f aca="false">Menu!E174</f>
        <v>80</v>
      </c>
      <c r="G309" s="64" t="s">
        <v>15</v>
      </c>
      <c r="H309" s="66" t="n">
        <f aca="false">F309/INDEX(Valeurs!$B$2:$B$40,MATCH(E309,Valeurs!$A$2:$A$40,0))*INDEX(Valeurs!$D$2:$D$40,MATCH(E309,Valeurs!$A$2:$A$40,0))</f>
        <v>14.4</v>
      </c>
      <c r="I309" s="72" t="n">
        <f aca="false">F309/INDEX(Valeurs!$B$2:$B$40,MATCH(E309,Valeurs!$A$2:$A$40,0))*INDEX(Valeurs!$E$2:$E$40,MATCH(E309,Valeurs!$A$2:$A$40,0))</f>
        <v>0.72</v>
      </c>
      <c r="J309" s="64" t="n">
        <v>2</v>
      </c>
    </row>
    <row r="310" customFormat="false" ht="15" hidden="false" customHeight="false" outlineLevel="0" collapsed="false">
      <c r="A310" s="70" t="n">
        <v>46303</v>
      </c>
      <c r="B310" s="64" t="s">
        <v>10</v>
      </c>
      <c r="C310" s="64" t="s">
        <v>11</v>
      </c>
      <c r="D310" s="64" t="s">
        <v>6</v>
      </c>
      <c r="E310" s="64" t="s">
        <v>21</v>
      </c>
      <c r="F310" s="71" t="n">
        <f aca="false">Menu!D175</f>
        <v>0</v>
      </c>
      <c r="G310" s="64" t="s">
        <v>15</v>
      </c>
      <c r="H310" s="66" t="n">
        <f aca="false">F310/INDEX(Valeurs!$B$2:$B$40,MATCH(E310,Valeurs!$A$2:$A$40,0))*INDEX(Valeurs!$D$2:$D$40,MATCH(E310,Valeurs!$A$2:$A$40,0))</f>
        <v>0</v>
      </c>
      <c r="I310" s="72" t="n">
        <f aca="false">F310/INDEX(Valeurs!$B$2:$B$40,MATCH(E310,Valeurs!$A$2:$A$40,0))*INDEX(Valeurs!$E$2:$E$40,MATCH(E310,Valeurs!$A$2:$A$40,0))</f>
        <v>0</v>
      </c>
      <c r="J310" s="64" t="n">
        <v>2</v>
      </c>
    </row>
    <row r="311" customFormat="false" ht="15" hidden="false" customHeight="false" outlineLevel="0" collapsed="false">
      <c r="A311" s="70" t="n">
        <v>46303</v>
      </c>
      <c r="B311" s="64" t="s">
        <v>10</v>
      </c>
      <c r="C311" s="64" t="s">
        <v>11</v>
      </c>
      <c r="D311" s="64" t="s">
        <v>7</v>
      </c>
      <c r="E311" s="64" t="s">
        <v>21</v>
      </c>
      <c r="F311" s="71" t="n">
        <f aca="false">Menu!E175</f>
        <v>40</v>
      </c>
      <c r="G311" s="64" t="s">
        <v>15</v>
      </c>
      <c r="H311" s="66" t="n">
        <f aca="false">F311/INDEX(Valeurs!$B$2:$B$40,MATCH(E311,Valeurs!$A$2:$A$40,0))*INDEX(Valeurs!$D$2:$D$40,MATCH(E311,Valeurs!$A$2:$A$40,0))</f>
        <v>96</v>
      </c>
      <c r="I311" s="72" t="n">
        <f aca="false">F311/INDEX(Valeurs!$B$2:$B$40,MATCH(E311,Valeurs!$A$2:$A$40,0))*INDEX(Valeurs!$E$2:$E$40,MATCH(E311,Valeurs!$A$2:$A$40,0))</f>
        <v>3.6</v>
      </c>
      <c r="J311" s="64" t="n">
        <v>2</v>
      </c>
    </row>
    <row r="312" customFormat="false" ht="15" hidden="false" customHeight="false" outlineLevel="0" collapsed="false">
      <c r="A312" s="70" t="n">
        <v>46303</v>
      </c>
      <c r="B312" s="64" t="s">
        <v>10</v>
      </c>
      <c r="C312" s="64" t="s">
        <v>11</v>
      </c>
      <c r="D312" s="64" t="s">
        <v>6</v>
      </c>
      <c r="E312" s="64" t="s">
        <v>22</v>
      </c>
      <c r="F312" s="71" t="n">
        <f aca="false">Menu!D176</f>
        <v>0</v>
      </c>
      <c r="G312" s="64" t="s">
        <v>15</v>
      </c>
      <c r="H312" s="66" t="n">
        <f aca="false">F312/INDEX(Valeurs!$B$2:$B$40,MATCH(E312,Valeurs!$A$2:$A$40,0))*INDEX(Valeurs!$D$2:$D$40,MATCH(E312,Valeurs!$A$2:$A$40,0))</f>
        <v>0</v>
      </c>
      <c r="I312" s="72" t="n">
        <f aca="false">F312/INDEX(Valeurs!$B$2:$B$40,MATCH(E312,Valeurs!$A$2:$A$40,0))*INDEX(Valeurs!$E$2:$E$40,MATCH(E312,Valeurs!$A$2:$A$40,0))</f>
        <v>0</v>
      </c>
      <c r="J312" s="64" t="n">
        <v>2</v>
      </c>
    </row>
    <row r="313" customFormat="false" ht="15" hidden="false" customHeight="false" outlineLevel="0" collapsed="false">
      <c r="A313" s="70" t="n">
        <v>46303</v>
      </c>
      <c r="B313" s="64" t="s">
        <v>10</v>
      </c>
      <c r="C313" s="64" t="s">
        <v>11</v>
      </c>
      <c r="D313" s="64" t="s">
        <v>7</v>
      </c>
      <c r="E313" s="64" t="s">
        <v>22</v>
      </c>
      <c r="F313" s="71" t="n">
        <f aca="false">Menu!E176</f>
        <v>150</v>
      </c>
      <c r="G313" s="64" t="s">
        <v>15</v>
      </c>
      <c r="H313" s="66" t="n">
        <f aca="false">F313/INDEX(Valeurs!$B$2:$B$40,MATCH(E313,Valeurs!$A$2:$A$40,0))*INDEX(Valeurs!$D$2:$D$40,MATCH(E313,Valeurs!$A$2:$A$40,0))</f>
        <v>78</v>
      </c>
      <c r="I313" s="72" t="n">
        <f aca="false">F313/INDEX(Valeurs!$B$2:$B$40,MATCH(E313,Valeurs!$A$2:$A$40,0))*INDEX(Valeurs!$E$2:$E$40,MATCH(E313,Valeurs!$A$2:$A$40,0))</f>
        <v>0.45</v>
      </c>
      <c r="J313" s="64" t="n">
        <v>2</v>
      </c>
    </row>
    <row r="314" customFormat="false" ht="15" hidden="false" customHeight="false" outlineLevel="0" collapsed="false">
      <c r="A314" s="70" t="n">
        <v>46303</v>
      </c>
      <c r="B314" s="64" t="s">
        <v>23</v>
      </c>
      <c r="C314" s="64" t="s">
        <v>75</v>
      </c>
      <c r="D314" s="64" t="s">
        <v>6</v>
      </c>
      <c r="E314" s="64" t="s">
        <v>25</v>
      </c>
      <c r="F314" s="71" t="n">
        <f aca="false">Menu!D177</f>
        <v>150</v>
      </c>
      <c r="G314" s="64" t="s">
        <v>15</v>
      </c>
      <c r="H314" s="66" t="n">
        <f aca="false">F314/INDEX(Valeurs!$B$2:$B$40,MATCH(E314,Valeurs!$A$2:$A$40,0))*INDEX(Valeurs!$D$2:$D$40,MATCH(E314,Valeurs!$A$2:$A$40,0))</f>
        <v>172.5</v>
      </c>
      <c r="I314" s="72" t="n">
        <f aca="false">F314/INDEX(Valeurs!$B$2:$B$40,MATCH(E314,Valeurs!$A$2:$A$40,0))*INDEX(Valeurs!$E$2:$E$40,MATCH(E314,Valeurs!$A$2:$A$40,0))</f>
        <v>34.5</v>
      </c>
      <c r="J314" s="64" t="n">
        <v>2</v>
      </c>
    </row>
    <row r="315" customFormat="false" ht="15" hidden="false" customHeight="false" outlineLevel="0" collapsed="false">
      <c r="A315" s="70" t="n">
        <v>46303</v>
      </c>
      <c r="B315" s="64" t="s">
        <v>23</v>
      </c>
      <c r="C315" s="64" t="s">
        <v>75</v>
      </c>
      <c r="D315" s="64" t="s">
        <v>7</v>
      </c>
      <c r="E315" s="64" t="s">
        <v>25</v>
      </c>
      <c r="F315" s="71" t="n">
        <f aca="false">Menu!E177</f>
        <v>120</v>
      </c>
      <c r="G315" s="64" t="s">
        <v>15</v>
      </c>
      <c r="H315" s="66" t="n">
        <f aca="false">F315/INDEX(Valeurs!$B$2:$B$40,MATCH(E315,Valeurs!$A$2:$A$40,0))*INDEX(Valeurs!$D$2:$D$40,MATCH(E315,Valeurs!$A$2:$A$40,0))</f>
        <v>138</v>
      </c>
      <c r="I315" s="72" t="n">
        <f aca="false">F315/INDEX(Valeurs!$B$2:$B$40,MATCH(E315,Valeurs!$A$2:$A$40,0))*INDEX(Valeurs!$E$2:$E$40,MATCH(E315,Valeurs!$A$2:$A$40,0))</f>
        <v>27.6</v>
      </c>
      <c r="J315" s="64" t="n">
        <v>2</v>
      </c>
    </row>
    <row r="316" customFormat="false" ht="15" hidden="false" customHeight="false" outlineLevel="0" collapsed="false">
      <c r="A316" s="70" t="n">
        <v>46303</v>
      </c>
      <c r="B316" s="64" t="s">
        <v>23</v>
      </c>
      <c r="C316" s="64" t="s">
        <v>75</v>
      </c>
      <c r="D316" s="64" t="s">
        <v>6</v>
      </c>
      <c r="E316" s="64" t="s">
        <v>26</v>
      </c>
      <c r="F316" s="71" t="n">
        <f aca="false">Menu!D178</f>
        <v>360</v>
      </c>
      <c r="G316" s="64" t="s">
        <v>15</v>
      </c>
      <c r="H316" s="66" t="n">
        <f aca="false">F316/INDEX(Valeurs!$B$2:$B$40,MATCH(E316,Valeurs!$A$2:$A$40,0))*INDEX(Valeurs!$D$2:$D$40,MATCH(E316,Valeurs!$A$2:$A$40,0))</f>
        <v>288</v>
      </c>
      <c r="I316" s="72" t="n">
        <f aca="false">F316/INDEX(Valeurs!$B$2:$B$40,MATCH(E316,Valeurs!$A$2:$A$40,0))*INDEX(Valeurs!$E$2:$E$40,MATCH(E316,Valeurs!$A$2:$A$40,0))</f>
        <v>7.2</v>
      </c>
      <c r="J316" s="64" t="n">
        <v>2</v>
      </c>
    </row>
    <row r="317" customFormat="false" ht="15" hidden="false" customHeight="false" outlineLevel="0" collapsed="false">
      <c r="A317" s="70" t="n">
        <v>46303</v>
      </c>
      <c r="B317" s="64" t="s">
        <v>23</v>
      </c>
      <c r="C317" s="64" t="s">
        <v>75</v>
      </c>
      <c r="D317" s="64" t="s">
        <v>7</v>
      </c>
      <c r="E317" s="64" t="s">
        <v>26</v>
      </c>
      <c r="F317" s="71" t="n">
        <f aca="false">Menu!E178</f>
        <v>170</v>
      </c>
      <c r="G317" s="64" t="s">
        <v>15</v>
      </c>
      <c r="H317" s="66" t="n">
        <f aca="false">F317/INDEX(Valeurs!$B$2:$B$40,MATCH(E317,Valeurs!$A$2:$A$40,0))*INDEX(Valeurs!$D$2:$D$40,MATCH(E317,Valeurs!$A$2:$A$40,0))</f>
        <v>136</v>
      </c>
      <c r="I317" s="72" t="n">
        <f aca="false">F317/INDEX(Valeurs!$B$2:$B$40,MATCH(E317,Valeurs!$A$2:$A$40,0))*INDEX(Valeurs!$E$2:$E$40,MATCH(E317,Valeurs!$A$2:$A$40,0))</f>
        <v>3.4</v>
      </c>
      <c r="J317" s="64" t="n">
        <v>2</v>
      </c>
    </row>
    <row r="318" customFormat="false" ht="15" hidden="false" customHeight="false" outlineLevel="0" collapsed="false">
      <c r="A318" s="70" t="n">
        <v>46303</v>
      </c>
      <c r="B318" s="64" t="s">
        <v>23</v>
      </c>
      <c r="C318" s="64" t="s">
        <v>75</v>
      </c>
      <c r="D318" s="64" t="s">
        <v>6</v>
      </c>
      <c r="E318" s="64" t="s">
        <v>46</v>
      </c>
      <c r="F318" s="71" t="n">
        <f aca="false">Menu!D179</f>
        <v>40</v>
      </c>
      <c r="G318" s="64" t="s">
        <v>15</v>
      </c>
      <c r="H318" s="66" t="n">
        <f aca="false">F318/INDEX(Valeurs!$B$2:$B$40,MATCH(E318,Valeurs!$A$2:$A$40,0))*INDEX(Valeurs!$D$2:$D$40,MATCH(E318,Valeurs!$A$2:$A$40,0))</f>
        <v>6</v>
      </c>
      <c r="I318" s="72" t="n">
        <f aca="false">F318/INDEX(Valeurs!$B$2:$B$40,MATCH(E318,Valeurs!$A$2:$A$40,0))*INDEX(Valeurs!$E$2:$E$40,MATCH(E318,Valeurs!$A$2:$A$40,0))</f>
        <v>0.56</v>
      </c>
      <c r="J318" s="64" t="n">
        <v>2</v>
      </c>
    </row>
    <row r="319" customFormat="false" ht="15" hidden="false" customHeight="false" outlineLevel="0" collapsed="false">
      <c r="A319" s="70" t="n">
        <v>46303</v>
      </c>
      <c r="B319" s="64" t="s">
        <v>23</v>
      </c>
      <c r="C319" s="64" t="s">
        <v>75</v>
      </c>
      <c r="D319" s="64" t="s">
        <v>7</v>
      </c>
      <c r="E319" s="64" t="s">
        <v>46</v>
      </c>
      <c r="F319" s="71" t="n">
        <f aca="false">Menu!E179</f>
        <v>60</v>
      </c>
      <c r="G319" s="64" t="s">
        <v>15</v>
      </c>
      <c r="H319" s="66" t="n">
        <f aca="false">F319/INDEX(Valeurs!$B$2:$B$40,MATCH(E319,Valeurs!$A$2:$A$40,0))*INDEX(Valeurs!$D$2:$D$40,MATCH(E319,Valeurs!$A$2:$A$40,0))</f>
        <v>9</v>
      </c>
      <c r="I319" s="72" t="n">
        <f aca="false">F319/INDEX(Valeurs!$B$2:$B$40,MATCH(E319,Valeurs!$A$2:$A$40,0))*INDEX(Valeurs!$E$2:$E$40,MATCH(E319,Valeurs!$A$2:$A$40,0))</f>
        <v>0.84</v>
      </c>
      <c r="J319" s="64" t="n">
        <v>2</v>
      </c>
    </row>
    <row r="320" customFormat="false" ht="15" hidden="false" customHeight="false" outlineLevel="0" collapsed="false">
      <c r="A320" s="70" t="n">
        <v>46303</v>
      </c>
      <c r="B320" s="64" t="s">
        <v>23</v>
      </c>
      <c r="C320" s="64" t="s">
        <v>75</v>
      </c>
      <c r="D320" s="64" t="s">
        <v>6</v>
      </c>
      <c r="E320" s="64" t="s">
        <v>20</v>
      </c>
      <c r="F320" s="71" t="n">
        <f aca="false">Menu!D180</f>
        <v>150</v>
      </c>
      <c r="G320" s="64" t="s">
        <v>15</v>
      </c>
      <c r="H320" s="66" t="n">
        <f aca="false">F320/INDEX(Valeurs!$B$2:$B$40,MATCH(E320,Valeurs!$A$2:$A$40,0))*INDEX(Valeurs!$D$2:$D$40,MATCH(E320,Valeurs!$A$2:$A$40,0))</f>
        <v>27</v>
      </c>
      <c r="I320" s="72" t="n">
        <f aca="false">F320/INDEX(Valeurs!$B$2:$B$40,MATCH(E320,Valeurs!$A$2:$A$40,0))*INDEX(Valeurs!$E$2:$E$40,MATCH(E320,Valeurs!$A$2:$A$40,0))</f>
        <v>1.35</v>
      </c>
      <c r="J320" s="64" t="n">
        <v>2</v>
      </c>
    </row>
    <row r="321" customFormat="false" ht="15" hidden="false" customHeight="false" outlineLevel="0" collapsed="false">
      <c r="A321" s="70" t="n">
        <v>46303</v>
      </c>
      <c r="B321" s="64" t="s">
        <v>23</v>
      </c>
      <c r="C321" s="64" t="s">
        <v>75</v>
      </c>
      <c r="D321" s="64" t="s">
        <v>7</v>
      </c>
      <c r="E321" s="64" t="s">
        <v>20</v>
      </c>
      <c r="F321" s="71" t="n">
        <f aca="false">Menu!E180</f>
        <v>180</v>
      </c>
      <c r="G321" s="64" t="s">
        <v>15</v>
      </c>
      <c r="H321" s="66" t="n">
        <f aca="false">F321/INDEX(Valeurs!$B$2:$B$40,MATCH(E321,Valeurs!$A$2:$A$40,0))*INDEX(Valeurs!$D$2:$D$40,MATCH(E321,Valeurs!$A$2:$A$40,0))</f>
        <v>32.4</v>
      </c>
      <c r="I321" s="72" t="n">
        <f aca="false">F321/INDEX(Valeurs!$B$2:$B$40,MATCH(E321,Valeurs!$A$2:$A$40,0))*INDEX(Valeurs!$E$2:$E$40,MATCH(E321,Valeurs!$A$2:$A$40,0))</f>
        <v>1.62</v>
      </c>
      <c r="J321" s="64" t="n">
        <v>2</v>
      </c>
    </row>
    <row r="322" customFormat="false" ht="15" hidden="false" customHeight="false" outlineLevel="0" collapsed="false">
      <c r="A322" s="70" t="n">
        <v>46303</v>
      </c>
      <c r="B322" s="64" t="s">
        <v>23</v>
      </c>
      <c r="C322" s="64" t="s">
        <v>75</v>
      </c>
      <c r="D322" s="64" t="s">
        <v>6</v>
      </c>
      <c r="E322" s="64" t="s">
        <v>28</v>
      </c>
      <c r="F322" s="71" t="n">
        <f aca="false">Menu!D181</f>
        <v>10</v>
      </c>
      <c r="G322" s="64" t="s">
        <v>15</v>
      </c>
      <c r="H322" s="66" t="n">
        <f aca="false">F322/INDEX(Valeurs!$B$2:$B$40,MATCH(E322,Valeurs!$A$2:$A$40,0))*INDEX(Valeurs!$D$2:$D$40,MATCH(E322,Valeurs!$A$2:$A$40,0))</f>
        <v>90</v>
      </c>
      <c r="I322" s="72" t="n">
        <f aca="false">F322/INDEX(Valeurs!$B$2:$B$40,MATCH(E322,Valeurs!$A$2:$A$40,0))*INDEX(Valeurs!$E$2:$E$40,MATCH(E322,Valeurs!$A$2:$A$40,0))</f>
        <v>0</v>
      </c>
      <c r="J322" s="64" t="n">
        <v>2</v>
      </c>
    </row>
    <row r="323" customFormat="false" ht="15" hidden="false" customHeight="false" outlineLevel="0" collapsed="false">
      <c r="A323" s="70" t="n">
        <v>46303</v>
      </c>
      <c r="B323" s="64" t="s">
        <v>23</v>
      </c>
      <c r="C323" s="64" t="s">
        <v>75</v>
      </c>
      <c r="D323" s="64" t="s">
        <v>7</v>
      </c>
      <c r="E323" s="64" t="s">
        <v>28</v>
      </c>
      <c r="F323" s="71" t="n">
        <f aca="false">Menu!E181</f>
        <v>7</v>
      </c>
      <c r="G323" s="64" t="s">
        <v>15</v>
      </c>
      <c r="H323" s="66" t="n">
        <f aca="false">F323/INDEX(Valeurs!$B$2:$B$40,MATCH(E323,Valeurs!$A$2:$A$40,0))*INDEX(Valeurs!$D$2:$D$40,MATCH(E323,Valeurs!$A$2:$A$40,0))</f>
        <v>63</v>
      </c>
      <c r="I323" s="72" t="n">
        <f aca="false">F323/INDEX(Valeurs!$B$2:$B$40,MATCH(E323,Valeurs!$A$2:$A$40,0))*INDEX(Valeurs!$E$2:$E$40,MATCH(E323,Valeurs!$A$2:$A$40,0))</f>
        <v>0</v>
      </c>
      <c r="J323" s="64" t="n">
        <v>2</v>
      </c>
    </row>
    <row r="324" customFormat="false" ht="15" hidden="false" customHeight="false" outlineLevel="0" collapsed="false">
      <c r="A324" s="70" t="n">
        <v>46303</v>
      </c>
      <c r="B324" s="64" t="s">
        <v>29</v>
      </c>
      <c r="C324" s="64" t="s">
        <v>76</v>
      </c>
      <c r="D324" s="64" t="s">
        <v>6</v>
      </c>
      <c r="E324" s="64" t="s">
        <v>31</v>
      </c>
      <c r="F324" s="71" t="n">
        <f aca="false">Menu!D182</f>
        <v>150</v>
      </c>
      <c r="G324" s="64" t="s">
        <v>15</v>
      </c>
      <c r="H324" s="66" t="n">
        <f aca="false">F324/INDEX(Valeurs!$B$2:$B$40,MATCH(E324,Valeurs!$A$2:$A$40,0))*INDEX(Valeurs!$D$2:$D$40,MATCH(E324,Valeurs!$A$2:$A$40,0))</f>
        <v>120</v>
      </c>
      <c r="I324" s="72" t="n">
        <f aca="false">F324/INDEX(Valeurs!$B$2:$B$40,MATCH(E324,Valeurs!$A$2:$A$40,0))*INDEX(Valeurs!$E$2:$E$40,MATCH(E324,Valeurs!$A$2:$A$40,0))</f>
        <v>25.5</v>
      </c>
      <c r="J324" s="64" t="n">
        <v>2</v>
      </c>
    </row>
    <row r="325" customFormat="false" ht="15" hidden="false" customHeight="false" outlineLevel="0" collapsed="false">
      <c r="A325" s="70" t="n">
        <v>46303</v>
      </c>
      <c r="B325" s="64" t="s">
        <v>29</v>
      </c>
      <c r="C325" s="64" t="s">
        <v>76</v>
      </c>
      <c r="D325" s="64" t="s">
        <v>7</v>
      </c>
      <c r="E325" s="64" t="s">
        <v>31</v>
      </c>
      <c r="F325" s="71" t="n">
        <f aca="false">Menu!E182</f>
        <v>125</v>
      </c>
      <c r="G325" s="64" t="s">
        <v>15</v>
      </c>
      <c r="H325" s="66" t="n">
        <f aca="false">F325/INDEX(Valeurs!$B$2:$B$40,MATCH(E325,Valeurs!$A$2:$A$40,0))*INDEX(Valeurs!$D$2:$D$40,MATCH(E325,Valeurs!$A$2:$A$40,0))</f>
        <v>100</v>
      </c>
      <c r="I325" s="72" t="n">
        <f aca="false">F325/INDEX(Valeurs!$B$2:$B$40,MATCH(E325,Valeurs!$A$2:$A$40,0))*INDEX(Valeurs!$E$2:$E$40,MATCH(E325,Valeurs!$A$2:$A$40,0))</f>
        <v>21.25</v>
      </c>
      <c r="J325" s="64" t="n">
        <v>2</v>
      </c>
    </row>
    <row r="326" customFormat="false" ht="15" hidden="false" customHeight="false" outlineLevel="0" collapsed="false">
      <c r="A326" s="70" t="n">
        <v>46303</v>
      </c>
      <c r="B326" s="64" t="s">
        <v>29</v>
      </c>
      <c r="C326" s="64" t="s">
        <v>76</v>
      </c>
      <c r="D326" s="64" t="s">
        <v>6</v>
      </c>
      <c r="E326" s="64" t="s">
        <v>44</v>
      </c>
      <c r="F326" s="71" t="n">
        <f aca="false">Menu!D183</f>
        <v>120</v>
      </c>
      <c r="G326" s="64" t="s">
        <v>15</v>
      </c>
      <c r="H326" s="66" t="n">
        <f aca="false">F326/INDEX(Valeurs!$B$2:$B$40,MATCH(E326,Valeurs!$A$2:$A$40,0))*INDEX(Valeurs!$D$2:$D$40,MATCH(E326,Valeurs!$A$2:$A$40,0))</f>
        <v>49.2</v>
      </c>
      <c r="I326" s="72" t="n">
        <f aca="false">F326/INDEX(Valeurs!$B$2:$B$40,MATCH(E326,Valeurs!$A$2:$A$40,0))*INDEX(Valeurs!$E$2:$E$40,MATCH(E326,Valeurs!$A$2:$A$40,0))</f>
        <v>1.08</v>
      </c>
      <c r="J326" s="64" t="n">
        <v>2</v>
      </c>
    </row>
    <row r="327" customFormat="false" ht="15" hidden="false" customHeight="false" outlineLevel="0" collapsed="false">
      <c r="A327" s="70" t="n">
        <v>46303</v>
      </c>
      <c r="B327" s="64" t="s">
        <v>29</v>
      </c>
      <c r="C327" s="64" t="s">
        <v>76</v>
      </c>
      <c r="D327" s="64" t="s">
        <v>7</v>
      </c>
      <c r="E327" s="64" t="s">
        <v>44</v>
      </c>
      <c r="F327" s="71" t="n">
        <f aca="false">Menu!E183</f>
        <v>150</v>
      </c>
      <c r="G327" s="64" t="s">
        <v>15</v>
      </c>
      <c r="H327" s="66" t="n">
        <f aca="false">F327/INDEX(Valeurs!$B$2:$B$40,MATCH(E327,Valeurs!$A$2:$A$40,0))*INDEX(Valeurs!$D$2:$D$40,MATCH(E327,Valeurs!$A$2:$A$40,0))</f>
        <v>61.5</v>
      </c>
      <c r="I327" s="72" t="n">
        <f aca="false">F327/INDEX(Valeurs!$B$2:$B$40,MATCH(E327,Valeurs!$A$2:$A$40,0))*INDEX(Valeurs!$E$2:$E$40,MATCH(E327,Valeurs!$A$2:$A$40,0))</f>
        <v>1.35</v>
      </c>
      <c r="J327" s="64" t="n">
        <v>2</v>
      </c>
    </row>
    <row r="328" customFormat="false" ht="15" hidden="false" customHeight="false" outlineLevel="0" collapsed="false">
      <c r="A328" s="70" t="n">
        <v>46303</v>
      </c>
      <c r="B328" s="64" t="s">
        <v>29</v>
      </c>
      <c r="C328" s="64" t="s">
        <v>76</v>
      </c>
      <c r="D328" s="64" t="s">
        <v>6</v>
      </c>
      <c r="E328" s="64" t="s">
        <v>67</v>
      </c>
      <c r="F328" s="71" t="n">
        <f aca="false">Menu!D184</f>
        <v>80</v>
      </c>
      <c r="G328" s="64" t="s">
        <v>15</v>
      </c>
      <c r="H328" s="66" t="n">
        <f aca="false">F328/INDEX(Valeurs!$B$2:$B$40,MATCH(E328,Valeurs!$A$2:$A$40,0))*INDEX(Valeurs!$D$2:$D$40,MATCH(E328,Valeurs!$A$2:$A$40,0))</f>
        <v>17.6</v>
      </c>
      <c r="I328" s="72" t="n">
        <f aca="false">F328/INDEX(Valeurs!$B$2:$B$40,MATCH(E328,Valeurs!$A$2:$A$40,0))*INDEX(Valeurs!$E$2:$E$40,MATCH(E328,Valeurs!$A$2:$A$40,0))</f>
        <v>2.48</v>
      </c>
      <c r="J328" s="64" t="n">
        <v>2</v>
      </c>
    </row>
    <row r="329" customFormat="false" ht="15" hidden="false" customHeight="false" outlineLevel="0" collapsed="false">
      <c r="A329" s="70" t="n">
        <v>46303</v>
      </c>
      <c r="B329" s="64" t="s">
        <v>29</v>
      </c>
      <c r="C329" s="64" t="s">
        <v>76</v>
      </c>
      <c r="D329" s="64" t="s">
        <v>7</v>
      </c>
      <c r="E329" s="64" t="s">
        <v>67</v>
      </c>
      <c r="F329" s="71" t="n">
        <f aca="false">Menu!E184</f>
        <v>100</v>
      </c>
      <c r="G329" s="64" t="s">
        <v>15</v>
      </c>
      <c r="H329" s="66" t="n">
        <f aca="false">F329/INDEX(Valeurs!$B$2:$B$40,MATCH(E329,Valeurs!$A$2:$A$40,0))*INDEX(Valeurs!$D$2:$D$40,MATCH(E329,Valeurs!$A$2:$A$40,0))</f>
        <v>22</v>
      </c>
      <c r="I329" s="72" t="n">
        <f aca="false">F329/INDEX(Valeurs!$B$2:$B$40,MATCH(E329,Valeurs!$A$2:$A$40,0))*INDEX(Valeurs!$E$2:$E$40,MATCH(E329,Valeurs!$A$2:$A$40,0))</f>
        <v>3.1</v>
      </c>
      <c r="J329" s="64" t="n">
        <v>2</v>
      </c>
    </row>
    <row r="330" customFormat="false" ht="15" hidden="false" customHeight="false" outlineLevel="0" collapsed="false">
      <c r="A330" s="70" t="n">
        <v>46303</v>
      </c>
      <c r="B330" s="64" t="s">
        <v>29</v>
      </c>
      <c r="C330" s="64" t="s">
        <v>76</v>
      </c>
      <c r="D330" s="64" t="s">
        <v>6</v>
      </c>
      <c r="E330" s="64" t="s">
        <v>35</v>
      </c>
      <c r="F330" s="71" t="n">
        <f aca="false">Menu!D185</f>
        <v>40</v>
      </c>
      <c r="G330" s="64" t="s">
        <v>15</v>
      </c>
      <c r="H330" s="66" t="n">
        <f aca="false">F330/INDEX(Valeurs!$B$2:$B$40,MATCH(E330,Valeurs!$A$2:$A$40,0))*INDEX(Valeurs!$D$2:$D$40,MATCH(E330,Valeurs!$A$2:$A$40,0))</f>
        <v>16</v>
      </c>
      <c r="I330" s="72" t="n">
        <f aca="false">F330/INDEX(Valeurs!$B$2:$B$40,MATCH(E330,Valeurs!$A$2:$A$40,0))*INDEX(Valeurs!$E$2:$E$40,MATCH(E330,Valeurs!$A$2:$A$40,0))</f>
        <v>0.44</v>
      </c>
      <c r="J330" s="64" t="n">
        <v>2</v>
      </c>
    </row>
    <row r="331" customFormat="false" ht="15" hidden="false" customHeight="false" outlineLevel="0" collapsed="false">
      <c r="A331" s="70" t="n">
        <v>46303</v>
      </c>
      <c r="B331" s="64" t="s">
        <v>29</v>
      </c>
      <c r="C331" s="64" t="s">
        <v>76</v>
      </c>
      <c r="D331" s="64" t="s">
        <v>7</v>
      </c>
      <c r="E331" s="64" t="s">
        <v>35</v>
      </c>
      <c r="F331" s="71" t="n">
        <f aca="false">Menu!E185</f>
        <v>40</v>
      </c>
      <c r="G331" s="64" t="s">
        <v>15</v>
      </c>
      <c r="H331" s="66" t="n">
        <f aca="false">F331/INDEX(Valeurs!$B$2:$B$40,MATCH(E331,Valeurs!$A$2:$A$40,0))*INDEX(Valeurs!$D$2:$D$40,MATCH(E331,Valeurs!$A$2:$A$40,0))</f>
        <v>16</v>
      </c>
      <c r="I331" s="72" t="n">
        <f aca="false">F331/INDEX(Valeurs!$B$2:$B$40,MATCH(E331,Valeurs!$A$2:$A$40,0))*INDEX(Valeurs!$E$2:$E$40,MATCH(E331,Valeurs!$A$2:$A$40,0))</f>
        <v>0.44</v>
      </c>
      <c r="J331" s="64" t="n">
        <v>2</v>
      </c>
    </row>
    <row r="332" customFormat="false" ht="15" hidden="false" customHeight="false" outlineLevel="0" collapsed="false">
      <c r="A332" s="70" t="n">
        <v>46303</v>
      </c>
      <c r="B332" s="64" t="s">
        <v>29</v>
      </c>
      <c r="C332" s="64" t="s">
        <v>76</v>
      </c>
      <c r="D332" s="64" t="s">
        <v>6</v>
      </c>
      <c r="E332" s="64" t="s">
        <v>20</v>
      </c>
      <c r="F332" s="71" t="n">
        <f aca="false">Menu!D186</f>
        <v>60</v>
      </c>
      <c r="G332" s="64" t="s">
        <v>15</v>
      </c>
      <c r="H332" s="66" t="n">
        <f aca="false">F332/INDEX(Valeurs!$B$2:$B$40,MATCH(E332,Valeurs!$A$2:$A$40,0))*INDEX(Valeurs!$D$2:$D$40,MATCH(E332,Valeurs!$A$2:$A$40,0))</f>
        <v>10.8</v>
      </c>
      <c r="I332" s="72" t="n">
        <f aca="false">F332/INDEX(Valeurs!$B$2:$B$40,MATCH(E332,Valeurs!$A$2:$A$40,0))*INDEX(Valeurs!$E$2:$E$40,MATCH(E332,Valeurs!$A$2:$A$40,0))</f>
        <v>0.54</v>
      </c>
      <c r="J332" s="64" t="n">
        <v>2</v>
      </c>
    </row>
    <row r="333" customFormat="false" ht="15" hidden="false" customHeight="false" outlineLevel="0" collapsed="false">
      <c r="A333" s="70" t="n">
        <v>46303</v>
      </c>
      <c r="B333" s="64" t="s">
        <v>29</v>
      </c>
      <c r="C333" s="64" t="s">
        <v>76</v>
      </c>
      <c r="D333" s="64" t="s">
        <v>7</v>
      </c>
      <c r="E333" s="64" t="s">
        <v>20</v>
      </c>
      <c r="F333" s="71" t="n">
        <f aca="false">Menu!E186</f>
        <v>60</v>
      </c>
      <c r="G333" s="64" t="s">
        <v>15</v>
      </c>
      <c r="H333" s="66" t="n">
        <f aca="false">F333/INDEX(Valeurs!$B$2:$B$40,MATCH(E333,Valeurs!$A$2:$A$40,0))*INDEX(Valeurs!$D$2:$D$40,MATCH(E333,Valeurs!$A$2:$A$40,0))</f>
        <v>10.8</v>
      </c>
      <c r="I333" s="72" t="n">
        <f aca="false">F333/INDEX(Valeurs!$B$2:$B$40,MATCH(E333,Valeurs!$A$2:$A$40,0))*INDEX(Valeurs!$E$2:$E$40,MATCH(E333,Valeurs!$A$2:$A$40,0))</f>
        <v>0.54</v>
      </c>
      <c r="J333" s="64" t="n">
        <v>2</v>
      </c>
    </row>
    <row r="334" customFormat="false" ht="15" hidden="false" customHeight="false" outlineLevel="0" collapsed="false">
      <c r="A334" s="70" t="n">
        <v>46303</v>
      </c>
      <c r="B334" s="64" t="s">
        <v>29</v>
      </c>
      <c r="C334" s="64" t="s">
        <v>76</v>
      </c>
      <c r="D334" s="64" t="s">
        <v>6</v>
      </c>
      <c r="E334" s="64" t="s">
        <v>26</v>
      </c>
      <c r="F334" s="71" t="n">
        <f aca="false">Menu!D187</f>
        <v>300</v>
      </c>
      <c r="G334" s="64" t="s">
        <v>15</v>
      </c>
      <c r="H334" s="66" t="n">
        <f aca="false">F334/INDEX(Valeurs!$B$2:$B$40,MATCH(E334,Valeurs!$A$2:$A$40,0))*INDEX(Valeurs!$D$2:$D$40,MATCH(E334,Valeurs!$A$2:$A$40,0))</f>
        <v>240</v>
      </c>
      <c r="I334" s="72" t="n">
        <f aca="false">F334/INDEX(Valeurs!$B$2:$B$40,MATCH(E334,Valeurs!$A$2:$A$40,0))*INDEX(Valeurs!$E$2:$E$40,MATCH(E334,Valeurs!$A$2:$A$40,0))</f>
        <v>6</v>
      </c>
      <c r="J334" s="64" t="n">
        <v>2</v>
      </c>
    </row>
    <row r="335" customFormat="false" ht="15" hidden="false" customHeight="false" outlineLevel="0" collapsed="false">
      <c r="A335" s="70" t="n">
        <v>46303</v>
      </c>
      <c r="B335" s="64" t="s">
        <v>29</v>
      </c>
      <c r="C335" s="64" t="s">
        <v>76</v>
      </c>
      <c r="D335" s="64" t="s">
        <v>7</v>
      </c>
      <c r="E335" s="64" t="s">
        <v>26</v>
      </c>
      <c r="F335" s="71" t="n">
        <f aca="false">Menu!E187</f>
        <v>140</v>
      </c>
      <c r="G335" s="64" t="s">
        <v>15</v>
      </c>
      <c r="H335" s="66" t="n">
        <f aca="false">F335/INDEX(Valeurs!$B$2:$B$40,MATCH(E335,Valeurs!$A$2:$A$40,0))*INDEX(Valeurs!$D$2:$D$40,MATCH(E335,Valeurs!$A$2:$A$40,0))</f>
        <v>112</v>
      </c>
      <c r="I335" s="72" t="n">
        <f aca="false">F335/INDEX(Valeurs!$B$2:$B$40,MATCH(E335,Valeurs!$A$2:$A$40,0))*INDEX(Valeurs!$E$2:$E$40,MATCH(E335,Valeurs!$A$2:$A$40,0))</f>
        <v>2.8</v>
      </c>
      <c r="J335" s="64" t="n">
        <v>2</v>
      </c>
    </row>
    <row r="336" customFormat="false" ht="15" hidden="false" customHeight="false" outlineLevel="0" collapsed="false">
      <c r="A336" s="70" t="n">
        <v>46303</v>
      </c>
      <c r="B336" s="64" t="s">
        <v>29</v>
      </c>
      <c r="C336" s="64" t="s">
        <v>76</v>
      </c>
      <c r="D336" s="64" t="s">
        <v>6</v>
      </c>
      <c r="E336" s="64" t="s">
        <v>28</v>
      </c>
      <c r="F336" s="71" t="n">
        <f aca="false">Menu!D188</f>
        <v>8</v>
      </c>
      <c r="G336" s="64" t="s">
        <v>15</v>
      </c>
      <c r="H336" s="66" t="n">
        <f aca="false">F336/INDEX(Valeurs!$B$2:$B$40,MATCH(E336,Valeurs!$A$2:$A$40,0))*INDEX(Valeurs!$D$2:$D$40,MATCH(E336,Valeurs!$A$2:$A$40,0))</f>
        <v>72</v>
      </c>
      <c r="I336" s="72" t="n">
        <f aca="false">F336/INDEX(Valeurs!$B$2:$B$40,MATCH(E336,Valeurs!$A$2:$A$40,0))*INDEX(Valeurs!$E$2:$E$40,MATCH(E336,Valeurs!$A$2:$A$40,0))</f>
        <v>0</v>
      </c>
      <c r="J336" s="64" t="n">
        <v>2</v>
      </c>
    </row>
    <row r="337" customFormat="false" ht="15" hidden="false" customHeight="false" outlineLevel="0" collapsed="false">
      <c r="A337" s="70" t="n">
        <v>46303</v>
      </c>
      <c r="B337" s="64" t="s">
        <v>29</v>
      </c>
      <c r="C337" s="64" t="s">
        <v>76</v>
      </c>
      <c r="D337" s="64" t="s">
        <v>7</v>
      </c>
      <c r="E337" s="64" t="s">
        <v>28</v>
      </c>
      <c r="F337" s="71" t="n">
        <f aca="false">Menu!E188</f>
        <v>6</v>
      </c>
      <c r="G337" s="64" t="s">
        <v>15</v>
      </c>
      <c r="H337" s="66" t="n">
        <f aca="false">F337/INDEX(Valeurs!$B$2:$B$40,MATCH(E337,Valeurs!$A$2:$A$40,0))*INDEX(Valeurs!$D$2:$D$40,MATCH(E337,Valeurs!$A$2:$A$40,0))</f>
        <v>54</v>
      </c>
      <c r="I337" s="72" t="n">
        <f aca="false">F337/INDEX(Valeurs!$B$2:$B$40,MATCH(E337,Valeurs!$A$2:$A$40,0))*INDEX(Valeurs!$E$2:$E$40,MATCH(E337,Valeurs!$A$2:$A$40,0))</f>
        <v>0</v>
      </c>
      <c r="J337" s="64" t="n">
        <v>2</v>
      </c>
    </row>
    <row r="338" customFormat="false" ht="15" hidden="false" customHeight="false" outlineLevel="0" collapsed="false">
      <c r="A338" s="70" t="n">
        <v>46303</v>
      </c>
      <c r="B338" s="64" t="s">
        <v>36</v>
      </c>
      <c r="C338" s="64" t="s">
        <v>37</v>
      </c>
      <c r="D338" s="64" t="s">
        <v>6</v>
      </c>
      <c r="E338" s="64" t="s">
        <v>38</v>
      </c>
      <c r="F338" s="71" t="n">
        <f aca="false">Menu!D189</f>
        <v>125</v>
      </c>
      <c r="G338" s="64" t="s">
        <v>15</v>
      </c>
      <c r="H338" s="66" t="n">
        <f aca="false">F338/INDEX(Valeurs!$B$2:$B$40,MATCH(E338,Valeurs!$A$2:$A$40,0))*INDEX(Valeurs!$D$2:$D$40,MATCH(E338,Valeurs!$A$2:$A$40,0))</f>
        <v>75</v>
      </c>
      <c r="I338" s="72" t="n">
        <f aca="false">F338/INDEX(Valeurs!$B$2:$B$40,MATCH(E338,Valeurs!$A$2:$A$40,0))*INDEX(Valeurs!$E$2:$E$40,MATCH(E338,Valeurs!$A$2:$A$40,0))</f>
        <v>5.625</v>
      </c>
      <c r="J338" s="64" t="n">
        <v>2</v>
      </c>
    </row>
    <row r="339" customFormat="false" ht="15" hidden="false" customHeight="false" outlineLevel="0" collapsed="false">
      <c r="A339" s="70" t="n">
        <v>46303</v>
      </c>
      <c r="B339" s="64" t="s">
        <v>36</v>
      </c>
      <c r="C339" s="64" t="s">
        <v>37</v>
      </c>
      <c r="D339" s="64" t="s">
        <v>7</v>
      </c>
      <c r="E339" s="64" t="s">
        <v>38</v>
      </c>
      <c r="F339" s="71" t="n">
        <f aca="false">Menu!E189</f>
        <v>125</v>
      </c>
      <c r="G339" s="64" t="s">
        <v>15</v>
      </c>
      <c r="H339" s="66" t="n">
        <f aca="false">F339/INDEX(Valeurs!$B$2:$B$40,MATCH(E339,Valeurs!$A$2:$A$40,0))*INDEX(Valeurs!$D$2:$D$40,MATCH(E339,Valeurs!$A$2:$A$40,0))</f>
        <v>75</v>
      </c>
      <c r="I339" s="72" t="n">
        <f aca="false">F339/INDEX(Valeurs!$B$2:$B$40,MATCH(E339,Valeurs!$A$2:$A$40,0))*INDEX(Valeurs!$E$2:$E$40,MATCH(E339,Valeurs!$A$2:$A$40,0))</f>
        <v>5.625</v>
      </c>
      <c r="J339" s="64" t="n">
        <v>2</v>
      </c>
    </row>
    <row r="340" customFormat="false" ht="15" hidden="false" customHeight="false" outlineLevel="0" collapsed="false">
      <c r="A340" s="70" t="n">
        <v>46303</v>
      </c>
      <c r="B340" s="64" t="s">
        <v>36</v>
      </c>
      <c r="C340" s="64" t="s">
        <v>37</v>
      </c>
      <c r="D340" s="64" t="s">
        <v>6</v>
      </c>
      <c r="E340" s="64" t="s">
        <v>39</v>
      </c>
      <c r="F340" s="71" t="n">
        <f aca="false">Menu!D190</f>
        <v>10</v>
      </c>
      <c r="G340" s="64" t="s">
        <v>15</v>
      </c>
      <c r="H340" s="66" t="n">
        <f aca="false">F340/INDEX(Valeurs!$B$2:$B$40,MATCH(E340,Valeurs!$A$2:$A$40,0))*INDEX(Valeurs!$D$2:$D$40,MATCH(E340,Valeurs!$A$2:$A$40,0))</f>
        <v>58</v>
      </c>
      <c r="I340" s="72" t="n">
        <f aca="false">F340/INDEX(Valeurs!$B$2:$B$40,MATCH(E340,Valeurs!$A$2:$A$40,0))*INDEX(Valeurs!$E$2:$E$40,MATCH(E340,Valeurs!$A$2:$A$40,0))</f>
        <v>0.75</v>
      </c>
      <c r="J340" s="64" t="n">
        <v>2</v>
      </c>
    </row>
    <row r="341" customFormat="false" ht="15" hidden="false" customHeight="false" outlineLevel="0" collapsed="false">
      <c r="A341" s="70" t="n">
        <v>46303</v>
      </c>
      <c r="B341" s="64" t="s">
        <v>36</v>
      </c>
      <c r="C341" s="64" t="s">
        <v>37</v>
      </c>
      <c r="D341" s="64" t="s">
        <v>7</v>
      </c>
      <c r="E341" s="64" t="s">
        <v>39</v>
      </c>
      <c r="F341" s="71" t="n">
        <f aca="false">Menu!E190</f>
        <v>10</v>
      </c>
      <c r="G341" s="64" t="s">
        <v>15</v>
      </c>
      <c r="H341" s="66" t="n">
        <f aca="false">F341/INDEX(Valeurs!$B$2:$B$40,MATCH(E341,Valeurs!$A$2:$A$40,0))*INDEX(Valeurs!$D$2:$D$40,MATCH(E341,Valeurs!$A$2:$A$40,0))</f>
        <v>58</v>
      </c>
      <c r="I341" s="72" t="n">
        <f aca="false">F341/INDEX(Valeurs!$B$2:$B$40,MATCH(E341,Valeurs!$A$2:$A$40,0))*INDEX(Valeurs!$E$2:$E$40,MATCH(E341,Valeurs!$A$2:$A$40,0))</f>
        <v>0.75</v>
      </c>
      <c r="J341" s="64" t="n">
        <v>2</v>
      </c>
    </row>
    <row r="342" customFormat="false" ht="15" hidden="false" customHeight="false" outlineLevel="0" collapsed="false">
      <c r="A342" s="70" t="n">
        <v>46304</v>
      </c>
      <c r="B342" s="64" t="s">
        <v>10</v>
      </c>
      <c r="C342" s="64" t="s">
        <v>11</v>
      </c>
      <c r="D342" s="64" t="s">
        <v>6</v>
      </c>
      <c r="E342" s="64" t="s">
        <v>12</v>
      </c>
      <c r="F342" s="71" t="n">
        <f aca="false">Menu!D193</f>
        <v>250</v>
      </c>
      <c r="G342" s="64" t="s">
        <v>13</v>
      </c>
      <c r="H342" s="66" t="n">
        <f aca="false">F342/INDEX(Valeurs!$B$2:$B$40,MATCH(E342,Valeurs!$A$2:$A$40,0))*INDEX(Valeurs!$D$2:$D$40,MATCH(E342,Valeurs!$A$2:$A$40,0))</f>
        <v>115</v>
      </c>
      <c r="I342" s="72" t="n">
        <f aca="false">F342/INDEX(Valeurs!$B$2:$B$40,MATCH(E342,Valeurs!$A$2:$A$40,0))*INDEX(Valeurs!$E$2:$E$40,MATCH(E342,Valeurs!$A$2:$A$40,0))</f>
        <v>8.25</v>
      </c>
      <c r="J342" s="64" t="n">
        <v>2</v>
      </c>
    </row>
    <row r="343" customFormat="false" ht="15" hidden="false" customHeight="false" outlineLevel="0" collapsed="false">
      <c r="A343" s="70" t="n">
        <v>46304</v>
      </c>
      <c r="B343" s="64" t="s">
        <v>10</v>
      </c>
      <c r="C343" s="64" t="s">
        <v>11</v>
      </c>
      <c r="D343" s="64" t="s">
        <v>7</v>
      </c>
      <c r="E343" s="64" t="s">
        <v>12</v>
      </c>
      <c r="F343" s="71" t="n">
        <f aca="false">Menu!E193</f>
        <v>0</v>
      </c>
      <c r="G343" s="64" t="s">
        <v>13</v>
      </c>
      <c r="H343" s="66" t="n">
        <f aca="false">F343/INDEX(Valeurs!$B$2:$B$40,MATCH(E343,Valeurs!$A$2:$A$40,0))*INDEX(Valeurs!$D$2:$D$40,MATCH(E343,Valeurs!$A$2:$A$40,0))</f>
        <v>0</v>
      </c>
      <c r="I343" s="72" t="n">
        <f aca="false">F343/INDEX(Valeurs!$B$2:$B$40,MATCH(E343,Valeurs!$A$2:$A$40,0))*INDEX(Valeurs!$E$2:$E$40,MATCH(E343,Valeurs!$A$2:$A$40,0))</f>
        <v>0</v>
      </c>
      <c r="J343" s="64" t="n">
        <v>2</v>
      </c>
    </row>
    <row r="344" customFormat="false" ht="15" hidden="false" customHeight="false" outlineLevel="0" collapsed="false">
      <c r="A344" s="70" t="n">
        <v>46304</v>
      </c>
      <c r="B344" s="64" t="s">
        <v>10</v>
      </c>
      <c r="C344" s="64" t="s">
        <v>11</v>
      </c>
      <c r="D344" s="64" t="s">
        <v>6</v>
      </c>
      <c r="E344" s="64" t="s">
        <v>14</v>
      </c>
      <c r="F344" s="71" t="n">
        <f aca="false">Menu!D194</f>
        <v>100</v>
      </c>
      <c r="G344" s="64" t="s">
        <v>15</v>
      </c>
      <c r="H344" s="66" t="n">
        <f aca="false">F344/INDEX(Valeurs!$B$2:$B$40,MATCH(E344,Valeurs!$A$2:$A$40,0))*INDEX(Valeurs!$D$2:$D$40,MATCH(E344,Valeurs!$A$2:$A$40,0))</f>
        <v>90</v>
      </c>
      <c r="I344" s="72" t="n">
        <f aca="false">F344/INDEX(Valeurs!$B$2:$B$40,MATCH(E344,Valeurs!$A$2:$A$40,0))*INDEX(Valeurs!$E$2:$E$40,MATCH(E344,Valeurs!$A$2:$A$40,0))</f>
        <v>1.1</v>
      </c>
      <c r="J344" s="64" t="n">
        <v>2</v>
      </c>
    </row>
    <row r="345" customFormat="false" ht="15" hidden="false" customHeight="false" outlineLevel="0" collapsed="false">
      <c r="A345" s="70" t="n">
        <v>46304</v>
      </c>
      <c r="B345" s="64" t="s">
        <v>10</v>
      </c>
      <c r="C345" s="64" t="s">
        <v>11</v>
      </c>
      <c r="D345" s="64" t="s">
        <v>7</v>
      </c>
      <c r="E345" s="64" t="s">
        <v>14</v>
      </c>
      <c r="F345" s="71" t="n">
        <f aca="false">Menu!E194</f>
        <v>0</v>
      </c>
      <c r="G345" s="64" t="s">
        <v>15</v>
      </c>
      <c r="H345" s="66" t="n">
        <f aca="false">F345/INDEX(Valeurs!$B$2:$B$40,MATCH(E345,Valeurs!$A$2:$A$40,0))*INDEX(Valeurs!$D$2:$D$40,MATCH(E345,Valeurs!$A$2:$A$40,0))</f>
        <v>0</v>
      </c>
      <c r="I345" s="72" t="n">
        <f aca="false">F345/INDEX(Valeurs!$B$2:$B$40,MATCH(E345,Valeurs!$A$2:$A$40,0))*INDEX(Valeurs!$E$2:$E$40,MATCH(E345,Valeurs!$A$2:$A$40,0))</f>
        <v>0</v>
      </c>
      <c r="J345" s="64" t="n">
        <v>2</v>
      </c>
    </row>
    <row r="346" customFormat="false" ht="15" hidden="false" customHeight="false" outlineLevel="0" collapsed="false">
      <c r="A346" s="70" t="n">
        <v>46304</v>
      </c>
      <c r="B346" s="64" t="s">
        <v>10</v>
      </c>
      <c r="C346" s="64" t="s">
        <v>11</v>
      </c>
      <c r="D346" s="64" t="s">
        <v>6</v>
      </c>
      <c r="E346" s="64" t="s">
        <v>16</v>
      </c>
      <c r="F346" s="71" t="n">
        <f aca="false">Menu!D195</f>
        <v>65</v>
      </c>
      <c r="G346" s="64" t="s">
        <v>15</v>
      </c>
      <c r="H346" s="66" t="n">
        <f aca="false">F346/INDEX(Valeurs!$B$2:$B$40,MATCH(E346,Valeurs!$A$2:$A$40,0))*INDEX(Valeurs!$D$2:$D$40,MATCH(E346,Valeurs!$A$2:$A$40,0))</f>
        <v>241.8</v>
      </c>
      <c r="I346" s="72" t="n">
        <f aca="false">F346/INDEX(Valeurs!$B$2:$B$40,MATCH(E346,Valeurs!$A$2:$A$40,0))*INDEX(Valeurs!$E$2:$E$40,MATCH(E346,Valeurs!$A$2:$A$40,0))</f>
        <v>8.775</v>
      </c>
      <c r="J346" s="64" t="n">
        <v>2</v>
      </c>
    </row>
    <row r="347" customFormat="false" ht="15" hidden="false" customHeight="false" outlineLevel="0" collapsed="false">
      <c r="A347" s="70" t="n">
        <v>46304</v>
      </c>
      <c r="B347" s="64" t="s">
        <v>10</v>
      </c>
      <c r="C347" s="64" t="s">
        <v>11</v>
      </c>
      <c r="D347" s="64" t="s">
        <v>7</v>
      </c>
      <c r="E347" s="64" t="s">
        <v>16</v>
      </c>
      <c r="F347" s="71" t="n">
        <f aca="false">Menu!E195</f>
        <v>0</v>
      </c>
      <c r="G347" s="64" t="s">
        <v>15</v>
      </c>
      <c r="H347" s="66" t="n">
        <f aca="false">F347/INDEX(Valeurs!$B$2:$B$40,MATCH(E347,Valeurs!$A$2:$A$40,0))*INDEX(Valeurs!$D$2:$D$40,MATCH(E347,Valeurs!$A$2:$A$40,0))</f>
        <v>0</v>
      </c>
      <c r="I347" s="72" t="n">
        <f aca="false">F347/INDEX(Valeurs!$B$2:$B$40,MATCH(E347,Valeurs!$A$2:$A$40,0))*INDEX(Valeurs!$E$2:$E$40,MATCH(E347,Valeurs!$A$2:$A$40,0))</f>
        <v>0</v>
      </c>
      <c r="J347" s="64" t="n">
        <v>2</v>
      </c>
    </row>
    <row r="348" customFormat="false" ht="15" hidden="false" customHeight="false" outlineLevel="0" collapsed="false">
      <c r="A348" s="70" t="n">
        <v>46304</v>
      </c>
      <c r="B348" s="64" t="s">
        <v>10</v>
      </c>
      <c r="C348" s="64" t="s">
        <v>11</v>
      </c>
      <c r="D348" s="64" t="s">
        <v>6</v>
      </c>
      <c r="E348" s="64" t="s">
        <v>17</v>
      </c>
      <c r="F348" s="71" t="n">
        <f aca="false">Menu!D196</f>
        <v>1</v>
      </c>
      <c r="G348" s="64" t="s">
        <v>171</v>
      </c>
      <c r="H348" s="66" t="n">
        <f aca="false">F348/INDEX(Valeurs!$B$2:$B$40,MATCH(E348,Valeurs!$A$2:$A$40,0))*INDEX(Valeurs!$D$2:$D$40,MATCH(E348,Valeurs!$A$2:$A$40,0))</f>
        <v>87</v>
      </c>
      <c r="I348" s="72" t="n">
        <f aca="false">F348/INDEX(Valeurs!$B$2:$B$40,MATCH(E348,Valeurs!$A$2:$A$40,0))*INDEX(Valeurs!$E$2:$E$40,MATCH(E348,Valeurs!$A$2:$A$40,0))</f>
        <v>7.5</v>
      </c>
      <c r="J348" s="64" t="n">
        <v>2</v>
      </c>
    </row>
    <row r="349" customFormat="false" ht="15" hidden="false" customHeight="false" outlineLevel="0" collapsed="false">
      <c r="A349" s="70" t="n">
        <v>46304</v>
      </c>
      <c r="B349" s="64" t="s">
        <v>10</v>
      </c>
      <c r="C349" s="64" t="s">
        <v>11</v>
      </c>
      <c r="D349" s="64" t="s">
        <v>7</v>
      </c>
      <c r="E349" s="64" t="s">
        <v>17</v>
      </c>
      <c r="F349" s="71" t="n">
        <f aca="false">Menu!E196</f>
        <v>2</v>
      </c>
      <c r="G349" s="64" t="s">
        <v>171</v>
      </c>
      <c r="H349" s="66" t="n">
        <f aca="false">F349/INDEX(Valeurs!$B$2:$B$40,MATCH(E349,Valeurs!$A$2:$A$40,0))*INDEX(Valeurs!$D$2:$D$40,MATCH(E349,Valeurs!$A$2:$A$40,0))</f>
        <v>174</v>
      </c>
      <c r="I349" s="72" t="n">
        <f aca="false">F349/INDEX(Valeurs!$B$2:$B$40,MATCH(E349,Valeurs!$A$2:$A$40,0))*INDEX(Valeurs!$E$2:$E$40,MATCH(E349,Valeurs!$A$2:$A$40,0))</f>
        <v>15</v>
      </c>
      <c r="J349" s="64" t="n">
        <v>2</v>
      </c>
    </row>
    <row r="350" customFormat="false" ht="15" hidden="false" customHeight="false" outlineLevel="0" collapsed="false">
      <c r="A350" s="70" t="n">
        <v>46304</v>
      </c>
      <c r="B350" s="64" t="s">
        <v>10</v>
      </c>
      <c r="C350" s="64" t="s">
        <v>11</v>
      </c>
      <c r="D350" s="64" t="s">
        <v>6</v>
      </c>
      <c r="E350" s="64" t="s">
        <v>19</v>
      </c>
      <c r="F350" s="71" t="n">
        <f aca="false">Menu!D197</f>
        <v>0</v>
      </c>
      <c r="G350" s="64" t="s">
        <v>15</v>
      </c>
      <c r="H350" s="66" t="n">
        <f aca="false">F350/INDEX(Valeurs!$B$2:$B$40,MATCH(E350,Valeurs!$A$2:$A$40,0))*INDEX(Valeurs!$D$2:$D$40,MATCH(E350,Valeurs!$A$2:$A$40,0))</f>
        <v>0</v>
      </c>
      <c r="I350" s="72" t="n">
        <f aca="false">F350/INDEX(Valeurs!$B$2:$B$40,MATCH(E350,Valeurs!$A$2:$A$40,0))*INDEX(Valeurs!$E$2:$E$40,MATCH(E350,Valeurs!$A$2:$A$40,0))</f>
        <v>0</v>
      </c>
      <c r="J350" s="64" t="n">
        <v>2</v>
      </c>
    </row>
    <row r="351" customFormat="false" ht="15" hidden="false" customHeight="false" outlineLevel="0" collapsed="false">
      <c r="A351" s="70" t="n">
        <v>46304</v>
      </c>
      <c r="B351" s="64" t="s">
        <v>10</v>
      </c>
      <c r="C351" s="64" t="s">
        <v>11</v>
      </c>
      <c r="D351" s="64" t="s">
        <v>7</v>
      </c>
      <c r="E351" s="64" t="s">
        <v>19</v>
      </c>
      <c r="F351" s="71" t="n">
        <f aca="false">Menu!E197</f>
        <v>30</v>
      </c>
      <c r="G351" s="64" t="s">
        <v>15</v>
      </c>
      <c r="H351" s="66" t="n">
        <f aca="false">F351/INDEX(Valeurs!$B$2:$B$40,MATCH(E351,Valeurs!$A$2:$A$40,0))*INDEX(Valeurs!$D$2:$D$40,MATCH(E351,Valeurs!$A$2:$A$40,0))</f>
        <v>33</v>
      </c>
      <c r="I351" s="72" t="n">
        <f aca="false">F351/INDEX(Valeurs!$B$2:$B$40,MATCH(E351,Valeurs!$A$2:$A$40,0))*INDEX(Valeurs!$E$2:$E$40,MATCH(E351,Valeurs!$A$2:$A$40,0))</f>
        <v>6</v>
      </c>
      <c r="J351" s="64" t="n">
        <v>2</v>
      </c>
    </row>
    <row r="352" customFormat="false" ht="15" hidden="false" customHeight="false" outlineLevel="0" collapsed="false">
      <c r="A352" s="70" t="n">
        <v>46304</v>
      </c>
      <c r="B352" s="64" t="s">
        <v>10</v>
      </c>
      <c r="C352" s="64" t="s">
        <v>11</v>
      </c>
      <c r="D352" s="64" t="s">
        <v>6</v>
      </c>
      <c r="E352" s="64" t="s">
        <v>20</v>
      </c>
      <c r="F352" s="71" t="n">
        <f aca="false">Menu!D198</f>
        <v>0</v>
      </c>
      <c r="G352" s="64" t="s">
        <v>15</v>
      </c>
      <c r="H352" s="66" t="n">
        <f aca="false">F352/INDEX(Valeurs!$B$2:$B$40,MATCH(E352,Valeurs!$A$2:$A$40,0))*INDEX(Valeurs!$D$2:$D$40,MATCH(E352,Valeurs!$A$2:$A$40,0))</f>
        <v>0</v>
      </c>
      <c r="I352" s="72" t="n">
        <f aca="false">F352/INDEX(Valeurs!$B$2:$B$40,MATCH(E352,Valeurs!$A$2:$A$40,0))*INDEX(Valeurs!$E$2:$E$40,MATCH(E352,Valeurs!$A$2:$A$40,0))</f>
        <v>0</v>
      </c>
      <c r="J352" s="64" t="n">
        <v>2</v>
      </c>
    </row>
    <row r="353" customFormat="false" ht="15" hidden="false" customHeight="false" outlineLevel="0" collapsed="false">
      <c r="A353" s="70" t="n">
        <v>46304</v>
      </c>
      <c r="B353" s="64" t="s">
        <v>10</v>
      </c>
      <c r="C353" s="64" t="s">
        <v>11</v>
      </c>
      <c r="D353" s="64" t="s">
        <v>7</v>
      </c>
      <c r="E353" s="64" t="s">
        <v>20</v>
      </c>
      <c r="F353" s="71" t="n">
        <f aca="false">Menu!E198</f>
        <v>80</v>
      </c>
      <c r="G353" s="64" t="s">
        <v>15</v>
      </c>
      <c r="H353" s="66" t="n">
        <f aca="false">F353/INDEX(Valeurs!$B$2:$B$40,MATCH(E353,Valeurs!$A$2:$A$40,0))*INDEX(Valeurs!$D$2:$D$40,MATCH(E353,Valeurs!$A$2:$A$40,0))</f>
        <v>14.4</v>
      </c>
      <c r="I353" s="72" t="n">
        <f aca="false">F353/INDEX(Valeurs!$B$2:$B$40,MATCH(E353,Valeurs!$A$2:$A$40,0))*INDEX(Valeurs!$E$2:$E$40,MATCH(E353,Valeurs!$A$2:$A$40,0))</f>
        <v>0.72</v>
      </c>
      <c r="J353" s="64" t="n">
        <v>2</v>
      </c>
    </row>
    <row r="354" customFormat="false" ht="15" hidden="false" customHeight="false" outlineLevel="0" collapsed="false">
      <c r="A354" s="70" t="n">
        <v>46304</v>
      </c>
      <c r="B354" s="64" t="s">
        <v>10</v>
      </c>
      <c r="C354" s="64" t="s">
        <v>11</v>
      </c>
      <c r="D354" s="64" t="s">
        <v>6</v>
      </c>
      <c r="E354" s="64" t="s">
        <v>21</v>
      </c>
      <c r="F354" s="71" t="n">
        <f aca="false">Menu!D199</f>
        <v>0</v>
      </c>
      <c r="G354" s="64" t="s">
        <v>15</v>
      </c>
      <c r="H354" s="66" t="n">
        <f aca="false">F354/INDEX(Valeurs!$B$2:$B$40,MATCH(E354,Valeurs!$A$2:$A$40,0))*INDEX(Valeurs!$D$2:$D$40,MATCH(E354,Valeurs!$A$2:$A$40,0))</f>
        <v>0</v>
      </c>
      <c r="I354" s="72" t="n">
        <f aca="false">F354/INDEX(Valeurs!$B$2:$B$40,MATCH(E354,Valeurs!$A$2:$A$40,0))*INDEX(Valeurs!$E$2:$E$40,MATCH(E354,Valeurs!$A$2:$A$40,0))</f>
        <v>0</v>
      </c>
      <c r="J354" s="64" t="n">
        <v>2</v>
      </c>
    </row>
    <row r="355" customFormat="false" ht="15" hidden="false" customHeight="false" outlineLevel="0" collapsed="false">
      <c r="A355" s="70" t="n">
        <v>46304</v>
      </c>
      <c r="B355" s="64" t="s">
        <v>10</v>
      </c>
      <c r="C355" s="64" t="s">
        <v>11</v>
      </c>
      <c r="D355" s="64" t="s">
        <v>7</v>
      </c>
      <c r="E355" s="64" t="s">
        <v>21</v>
      </c>
      <c r="F355" s="71" t="n">
        <f aca="false">Menu!E199</f>
        <v>40</v>
      </c>
      <c r="G355" s="64" t="s">
        <v>15</v>
      </c>
      <c r="H355" s="66" t="n">
        <f aca="false">F355/INDEX(Valeurs!$B$2:$B$40,MATCH(E355,Valeurs!$A$2:$A$40,0))*INDEX(Valeurs!$D$2:$D$40,MATCH(E355,Valeurs!$A$2:$A$40,0))</f>
        <v>96</v>
      </c>
      <c r="I355" s="72" t="n">
        <f aca="false">F355/INDEX(Valeurs!$B$2:$B$40,MATCH(E355,Valeurs!$A$2:$A$40,0))*INDEX(Valeurs!$E$2:$E$40,MATCH(E355,Valeurs!$A$2:$A$40,0))</f>
        <v>3.6</v>
      </c>
      <c r="J355" s="64" t="n">
        <v>2</v>
      </c>
    </row>
    <row r="356" customFormat="false" ht="15" hidden="false" customHeight="false" outlineLevel="0" collapsed="false">
      <c r="A356" s="70" t="n">
        <v>46304</v>
      </c>
      <c r="B356" s="64" t="s">
        <v>10</v>
      </c>
      <c r="C356" s="64" t="s">
        <v>11</v>
      </c>
      <c r="D356" s="64" t="s">
        <v>6</v>
      </c>
      <c r="E356" s="64" t="s">
        <v>22</v>
      </c>
      <c r="F356" s="71" t="n">
        <f aca="false">Menu!D200</f>
        <v>0</v>
      </c>
      <c r="G356" s="64" t="s">
        <v>15</v>
      </c>
      <c r="H356" s="66" t="n">
        <f aca="false">F356/INDEX(Valeurs!$B$2:$B$40,MATCH(E356,Valeurs!$A$2:$A$40,0))*INDEX(Valeurs!$D$2:$D$40,MATCH(E356,Valeurs!$A$2:$A$40,0))</f>
        <v>0</v>
      </c>
      <c r="I356" s="72" t="n">
        <f aca="false">F356/INDEX(Valeurs!$B$2:$B$40,MATCH(E356,Valeurs!$A$2:$A$40,0))*INDEX(Valeurs!$E$2:$E$40,MATCH(E356,Valeurs!$A$2:$A$40,0))</f>
        <v>0</v>
      </c>
      <c r="J356" s="64" t="n">
        <v>2</v>
      </c>
    </row>
    <row r="357" customFormat="false" ht="15" hidden="false" customHeight="false" outlineLevel="0" collapsed="false">
      <c r="A357" s="70" t="n">
        <v>46304</v>
      </c>
      <c r="B357" s="64" t="s">
        <v>10</v>
      </c>
      <c r="C357" s="64" t="s">
        <v>11</v>
      </c>
      <c r="D357" s="64" t="s">
        <v>7</v>
      </c>
      <c r="E357" s="64" t="s">
        <v>22</v>
      </c>
      <c r="F357" s="71" t="n">
        <f aca="false">Menu!E200</f>
        <v>150</v>
      </c>
      <c r="G357" s="64" t="s">
        <v>15</v>
      </c>
      <c r="H357" s="66" t="n">
        <f aca="false">F357/INDEX(Valeurs!$B$2:$B$40,MATCH(E357,Valeurs!$A$2:$A$40,0))*INDEX(Valeurs!$D$2:$D$40,MATCH(E357,Valeurs!$A$2:$A$40,0))</f>
        <v>78</v>
      </c>
      <c r="I357" s="72" t="n">
        <f aca="false">F357/INDEX(Valeurs!$B$2:$B$40,MATCH(E357,Valeurs!$A$2:$A$40,0))*INDEX(Valeurs!$E$2:$E$40,MATCH(E357,Valeurs!$A$2:$A$40,0))</f>
        <v>0.45</v>
      </c>
      <c r="J357" s="64" t="n">
        <v>2</v>
      </c>
    </row>
    <row r="358" customFormat="false" ht="15" hidden="false" customHeight="false" outlineLevel="0" collapsed="false">
      <c r="A358" s="70" t="n">
        <v>46304</v>
      </c>
      <c r="B358" s="64" t="s">
        <v>23</v>
      </c>
      <c r="C358" s="64" t="s">
        <v>78</v>
      </c>
      <c r="D358" s="64" t="s">
        <v>6</v>
      </c>
      <c r="E358" s="64" t="s">
        <v>25</v>
      </c>
      <c r="F358" s="71" t="n">
        <f aca="false">Menu!D201</f>
        <v>100</v>
      </c>
      <c r="G358" s="64" t="s">
        <v>15</v>
      </c>
      <c r="H358" s="66" t="n">
        <f aca="false">F358/INDEX(Valeurs!$B$2:$B$40,MATCH(E358,Valeurs!$A$2:$A$40,0))*INDEX(Valeurs!$D$2:$D$40,MATCH(E358,Valeurs!$A$2:$A$40,0))</f>
        <v>115</v>
      </c>
      <c r="I358" s="72" t="n">
        <f aca="false">F358/INDEX(Valeurs!$B$2:$B$40,MATCH(E358,Valeurs!$A$2:$A$40,0))*INDEX(Valeurs!$E$2:$E$40,MATCH(E358,Valeurs!$A$2:$A$40,0))</f>
        <v>23</v>
      </c>
      <c r="J358" s="64" t="n">
        <v>2</v>
      </c>
    </row>
    <row r="359" customFormat="false" ht="15" hidden="false" customHeight="false" outlineLevel="0" collapsed="false">
      <c r="A359" s="70" t="n">
        <v>46304</v>
      </c>
      <c r="B359" s="64" t="s">
        <v>23</v>
      </c>
      <c r="C359" s="64" t="s">
        <v>78</v>
      </c>
      <c r="D359" s="64" t="s">
        <v>7</v>
      </c>
      <c r="E359" s="64" t="s">
        <v>25</v>
      </c>
      <c r="F359" s="71" t="n">
        <f aca="false">Menu!E201</f>
        <v>80</v>
      </c>
      <c r="G359" s="64" t="s">
        <v>15</v>
      </c>
      <c r="H359" s="66" t="n">
        <f aca="false">F359/INDEX(Valeurs!$B$2:$B$40,MATCH(E359,Valeurs!$A$2:$A$40,0))*INDEX(Valeurs!$D$2:$D$40,MATCH(E359,Valeurs!$A$2:$A$40,0))</f>
        <v>92</v>
      </c>
      <c r="I359" s="72" t="n">
        <f aca="false">F359/INDEX(Valeurs!$B$2:$B$40,MATCH(E359,Valeurs!$A$2:$A$40,0))*INDEX(Valeurs!$E$2:$E$40,MATCH(E359,Valeurs!$A$2:$A$40,0))</f>
        <v>18.4</v>
      </c>
      <c r="J359" s="64" t="n">
        <v>2</v>
      </c>
    </row>
    <row r="360" customFormat="false" ht="15" hidden="false" customHeight="false" outlineLevel="0" collapsed="false">
      <c r="A360" s="70" t="n">
        <v>46304</v>
      </c>
      <c r="B360" s="64" t="s">
        <v>23</v>
      </c>
      <c r="C360" s="64" t="s">
        <v>78</v>
      </c>
      <c r="D360" s="64" t="s">
        <v>6</v>
      </c>
      <c r="E360" s="64" t="s">
        <v>42</v>
      </c>
      <c r="F360" s="71" t="n">
        <f aca="false">Menu!D202</f>
        <v>140</v>
      </c>
      <c r="G360" s="64" t="s">
        <v>15</v>
      </c>
      <c r="H360" s="66" t="n">
        <f aca="false">F360/INDEX(Valeurs!$B$2:$B$40,MATCH(E360,Valeurs!$A$2:$A$40,0))*INDEX(Valeurs!$D$2:$D$40,MATCH(E360,Valeurs!$A$2:$A$40,0))</f>
        <v>140</v>
      </c>
      <c r="I360" s="72" t="n">
        <f aca="false">F360/INDEX(Valeurs!$B$2:$B$40,MATCH(E360,Valeurs!$A$2:$A$40,0))*INDEX(Valeurs!$E$2:$E$40,MATCH(E360,Valeurs!$A$2:$A$40,0))</f>
        <v>10.5</v>
      </c>
      <c r="J360" s="64" t="n">
        <v>2</v>
      </c>
    </row>
    <row r="361" customFormat="false" ht="15" hidden="false" customHeight="false" outlineLevel="0" collapsed="false">
      <c r="A361" s="70" t="n">
        <v>46304</v>
      </c>
      <c r="B361" s="64" t="s">
        <v>23</v>
      </c>
      <c r="C361" s="64" t="s">
        <v>78</v>
      </c>
      <c r="D361" s="64" t="s">
        <v>7</v>
      </c>
      <c r="E361" s="64" t="s">
        <v>42</v>
      </c>
      <c r="F361" s="71" t="n">
        <f aca="false">Menu!E202</f>
        <v>120</v>
      </c>
      <c r="G361" s="64" t="s">
        <v>15</v>
      </c>
      <c r="H361" s="66" t="n">
        <f aca="false">F361/INDEX(Valeurs!$B$2:$B$40,MATCH(E361,Valeurs!$A$2:$A$40,0))*INDEX(Valeurs!$D$2:$D$40,MATCH(E361,Valeurs!$A$2:$A$40,0))</f>
        <v>120</v>
      </c>
      <c r="I361" s="72" t="n">
        <f aca="false">F361/INDEX(Valeurs!$B$2:$B$40,MATCH(E361,Valeurs!$A$2:$A$40,0))*INDEX(Valeurs!$E$2:$E$40,MATCH(E361,Valeurs!$A$2:$A$40,0))</f>
        <v>9</v>
      </c>
      <c r="J361" s="64" t="n">
        <v>2</v>
      </c>
    </row>
    <row r="362" customFormat="false" ht="15" hidden="false" customHeight="false" outlineLevel="0" collapsed="false">
      <c r="A362" s="70" t="n">
        <v>46304</v>
      </c>
      <c r="B362" s="64" t="s">
        <v>23</v>
      </c>
      <c r="C362" s="64" t="s">
        <v>78</v>
      </c>
      <c r="D362" s="64" t="s">
        <v>6</v>
      </c>
      <c r="E362" s="64" t="s">
        <v>43</v>
      </c>
      <c r="F362" s="71" t="n">
        <f aca="false">Menu!D203</f>
        <v>50</v>
      </c>
      <c r="G362" s="64" t="s">
        <v>15</v>
      </c>
      <c r="H362" s="66" t="n">
        <f aca="false">F362/INDEX(Valeurs!$B$2:$B$40,MATCH(E362,Valeurs!$A$2:$A$40,0))*INDEX(Valeurs!$D$2:$D$40,MATCH(E362,Valeurs!$A$2:$A$40,0))</f>
        <v>177.5</v>
      </c>
      <c r="I362" s="72" t="n">
        <f aca="false">F362/INDEX(Valeurs!$B$2:$B$40,MATCH(E362,Valeurs!$A$2:$A$40,0))*INDEX(Valeurs!$E$2:$E$40,MATCH(E362,Valeurs!$A$2:$A$40,0))</f>
        <v>3.5</v>
      </c>
      <c r="J362" s="64" t="n">
        <v>2</v>
      </c>
    </row>
    <row r="363" customFormat="false" ht="15" hidden="false" customHeight="false" outlineLevel="0" collapsed="false">
      <c r="A363" s="70" t="n">
        <v>46304</v>
      </c>
      <c r="B363" s="64" t="s">
        <v>23</v>
      </c>
      <c r="C363" s="64" t="s">
        <v>78</v>
      </c>
      <c r="D363" s="64" t="s">
        <v>7</v>
      </c>
      <c r="E363" s="64" t="s">
        <v>43</v>
      </c>
      <c r="F363" s="71" t="n">
        <f aca="false">Menu!E203</f>
        <v>20</v>
      </c>
      <c r="G363" s="64" t="s">
        <v>15</v>
      </c>
      <c r="H363" s="66" t="n">
        <f aca="false">F363/INDEX(Valeurs!$B$2:$B$40,MATCH(E363,Valeurs!$A$2:$A$40,0))*INDEX(Valeurs!$D$2:$D$40,MATCH(E363,Valeurs!$A$2:$A$40,0))</f>
        <v>71</v>
      </c>
      <c r="I363" s="72" t="n">
        <f aca="false">F363/INDEX(Valeurs!$B$2:$B$40,MATCH(E363,Valeurs!$A$2:$A$40,0))*INDEX(Valeurs!$E$2:$E$40,MATCH(E363,Valeurs!$A$2:$A$40,0))</f>
        <v>1.4</v>
      </c>
      <c r="J363" s="64" t="n">
        <v>2</v>
      </c>
    </row>
    <row r="364" customFormat="false" ht="15" hidden="false" customHeight="false" outlineLevel="0" collapsed="false">
      <c r="A364" s="70" t="n">
        <v>46304</v>
      </c>
      <c r="B364" s="64" t="s">
        <v>23</v>
      </c>
      <c r="C364" s="64" t="s">
        <v>78</v>
      </c>
      <c r="D364" s="64" t="s">
        <v>6</v>
      </c>
      <c r="E364" s="64" t="s">
        <v>20</v>
      </c>
      <c r="F364" s="71" t="n">
        <f aca="false">Menu!D204</f>
        <v>150</v>
      </c>
      <c r="G364" s="64" t="s">
        <v>15</v>
      </c>
      <c r="H364" s="66" t="n">
        <f aca="false">F364/INDEX(Valeurs!$B$2:$B$40,MATCH(E364,Valeurs!$A$2:$A$40,0))*INDEX(Valeurs!$D$2:$D$40,MATCH(E364,Valeurs!$A$2:$A$40,0))</f>
        <v>27</v>
      </c>
      <c r="I364" s="72" t="n">
        <f aca="false">F364/INDEX(Valeurs!$B$2:$B$40,MATCH(E364,Valeurs!$A$2:$A$40,0))*INDEX(Valeurs!$E$2:$E$40,MATCH(E364,Valeurs!$A$2:$A$40,0))</f>
        <v>1.35</v>
      </c>
      <c r="J364" s="64" t="n">
        <v>2</v>
      </c>
    </row>
    <row r="365" customFormat="false" ht="15" hidden="false" customHeight="false" outlineLevel="0" collapsed="false">
      <c r="A365" s="70" t="n">
        <v>46304</v>
      </c>
      <c r="B365" s="64" t="s">
        <v>23</v>
      </c>
      <c r="C365" s="64" t="s">
        <v>78</v>
      </c>
      <c r="D365" s="64" t="s">
        <v>7</v>
      </c>
      <c r="E365" s="64" t="s">
        <v>20</v>
      </c>
      <c r="F365" s="71" t="n">
        <f aca="false">Menu!E204</f>
        <v>180</v>
      </c>
      <c r="G365" s="64" t="s">
        <v>15</v>
      </c>
      <c r="H365" s="66" t="n">
        <f aca="false">F365/INDEX(Valeurs!$B$2:$B$40,MATCH(E365,Valeurs!$A$2:$A$40,0))*INDEX(Valeurs!$D$2:$D$40,MATCH(E365,Valeurs!$A$2:$A$40,0))</f>
        <v>32.4</v>
      </c>
      <c r="I365" s="72" t="n">
        <f aca="false">F365/INDEX(Valeurs!$B$2:$B$40,MATCH(E365,Valeurs!$A$2:$A$40,0))*INDEX(Valeurs!$E$2:$E$40,MATCH(E365,Valeurs!$A$2:$A$40,0))</f>
        <v>1.62</v>
      </c>
      <c r="J365" s="64" t="n">
        <v>2</v>
      </c>
    </row>
    <row r="366" customFormat="false" ht="15" hidden="false" customHeight="false" outlineLevel="0" collapsed="false">
      <c r="A366" s="70" t="n">
        <v>46304</v>
      </c>
      <c r="B366" s="64" t="s">
        <v>23</v>
      </c>
      <c r="C366" s="64" t="s">
        <v>78</v>
      </c>
      <c r="D366" s="64" t="s">
        <v>6</v>
      </c>
      <c r="E366" s="64" t="s">
        <v>35</v>
      </c>
      <c r="F366" s="71" t="n">
        <f aca="false">Menu!D205</f>
        <v>40</v>
      </c>
      <c r="G366" s="64" t="s">
        <v>15</v>
      </c>
      <c r="H366" s="66" t="n">
        <f aca="false">F366/INDEX(Valeurs!$B$2:$B$40,MATCH(E366,Valeurs!$A$2:$A$40,0))*INDEX(Valeurs!$D$2:$D$40,MATCH(E366,Valeurs!$A$2:$A$40,0))</f>
        <v>16</v>
      </c>
      <c r="I366" s="72" t="n">
        <f aca="false">F366/INDEX(Valeurs!$B$2:$B$40,MATCH(E366,Valeurs!$A$2:$A$40,0))*INDEX(Valeurs!$E$2:$E$40,MATCH(E366,Valeurs!$A$2:$A$40,0))</f>
        <v>0.44</v>
      </c>
      <c r="J366" s="64" t="n">
        <v>2</v>
      </c>
    </row>
    <row r="367" customFormat="false" ht="15" hidden="false" customHeight="false" outlineLevel="0" collapsed="false">
      <c r="A367" s="70" t="n">
        <v>46304</v>
      </c>
      <c r="B367" s="64" t="s">
        <v>23</v>
      </c>
      <c r="C367" s="64" t="s">
        <v>78</v>
      </c>
      <c r="D367" s="64" t="s">
        <v>7</v>
      </c>
      <c r="E367" s="64" t="s">
        <v>35</v>
      </c>
      <c r="F367" s="71" t="n">
        <f aca="false">Menu!E205</f>
        <v>40</v>
      </c>
      <c r="G367" s="64" t="s">
        <v>15</v>
      </c>
      <c r="H367" s="66" t="n">
        <f aca="false">F367/INDEX(Valeurs!$B$2:$B$40,MATCH(E367,Valeurs!$A$2:$A$40,0))*INDEX(Valeurs!$D$2:$D$40,MATCH(E367,Valeurs!$A$2:$A$40,0))</f>
        <v>16</v>
      </c>
      <c r="I367" s="72" t="n">
        <f aca="false">F367/INDEX(Valeurs!$B$2:$B$40,MATCH(E367,Valeurs!$A$2:$A$40,0))*INDEX(Valeurs!$E$2:$E$40,MATCH(E367,Valeurs!$A$2:$A$40,0))</f>
        <v>0.44</v>
      </c>
      <c r="J367" s="64" t="n">
        <v>2</v>
      </c>
    </row>
    <row r="368" customFormat="false" ht="15" hidden="false" customHeight="false" outlineLevel="0" collapsed="false">
      <c r="A368" s="70" t="n">
        <v>46304</v>
      </c>
      <c r="B368" s="64" t="s">
        <v>23</v>
      </c>
      <c r="C368" s="64" t="s">
        <v>78</v>
      </c>
      <c r="D368" s="64" t="s">
        <v>6</v>
      </c>
      <c r="E368" s="64" t="s">
        <v>27</v>
      </c>
      <c r="F368" s="71" t="n">
        <f aca="false">Menu!D206</f>
        <v>150</v>
      </c>
      <c r="G368" s="64" t="s">
        <v>15</v>
      </c>
      <c r="H368" s="66" t="n">
        <f aca="false">F368/INDEX(Valeurs!$B$2:$B$40,MATCH(E368,Valeurs!$A$2:$A$40,0))*INDEX(Valeurs!$D$2:$D$40,MATCH(E368,Valeurs!$A$2:$A$40,0))</f>
        <v>46.5</v>
      </c>
      <c r="I368" s="72" t="n">
        <f aca="false">F368/INDEX(Valeurs!$B$2:$B$40,MATCH(E368,Valeurs!$A$2:$A$40,0))*INDEX(Valeurs!$E$2:$E$40,MATCH(E368,Valeurs!$A$2:$A$40,0))</f>
        <v>2.7</v>
      </c>
      <c r="J368" s="64" t="n">
        <v>2</v>
      </c>
    </row>
    <row r="369" customFormat="false" ht="15" hidden="false" customHeight="false" outlineLevel="0" collapsed="false">
      <c r="A369" s="70" t="n">
        <v>46304</v>
      </c>
      <c r="B369" s="64" t="s">
        <v>23</v>
      </c>
      <c r="C369" s="64" t="s">
        <v>78</v>
      </c>
      <c r="D369" s="64" t="s">
        <v>7</v>
      </c>
      <c r="E369" s="64" t="s">
        <v>27</v>
      </c>
      <c r="F369" s="71" t="n">
        <f aca="false">Menu!E206</f>
        <v>200</v>
      </c>
      <c r="G369" s="64" t="s">
        <v>15</v>
      </c>
      <c r="H369" s="66" t="n">
        <f aca="false">F369/INDEX(Valeurs!$B$2:$B$40,MATCH(E369,Valeurs!$A$2:$A$40,0))*INDEX(Valeurs!$D$2:$D$40,MATCH(E369,Valeurs!$A$2:$A$40,0))</f>
        <v>62</v>
      </c>
      <c r="I369" s="72" t="n">
        <f aca="false">F369/INDEX(Valeurs!$B$2:$B$40,MATCH(E369,Valeurs!$A$2:$A$40,0))*INDEX(Valeurs!$E$2:$E$40,MATCH(E369,Valeurs!$A$2:$A$40,0))</f>
        <v>3.6</v>
      </c>
      <c r="J369" s="64" t="n">
        <v>2</v>
      </c>
    </row>
    <row r="370" customFormat="false" ht="15" hidden="false" customHeight="false" outlineLevel="0" collapsed="false">
      <c r="A370" s="70" t="n">
        <v>46304</v>
      </c>
      <c r="B370" s="64" t="s">
        <v>23</v>
      </c>
      <c r="C370" s="64" t="s">
        <v>78</v>
      </c>
      <c r="D370" s="64" t="s">
        <v>6</v>
      </c>
      <c r="E370" s="64" t="s">
        <v>28</v>
      </c>
      <c r="F370" s="71" t="n">
        <f aca="false">Menu!D207</f>
        <v>10</v>
      </c>
      <c r="G370" s="64" t="s">
        <v>15</v>
      </c>
      <c r="H370" s="66" t="n">
        <f aca="false">F370/INDEX(Valeurs!$B$2:$B$40,MATCH(E370,Valeurs!$A$2:$A$40,0))*INDEX(Valeurs!$D$2:$D$40,MATCH(E370,Valeurs!$A$2:$A$40,0))</f>
        <v>90</v>
      </c>
      <c r="I370" s="72" t="n">
        <f aca="false">F370/INDEX(Valeurs!$B$2:$B$40,MATCH(E370,Valeurs!$A$2:$A$40,0))*INDEX(Valeurs!$E$2:$E$40,MATCH(E370,Valeurs!$A$2:$A$40,0))</f>
        <v>0</v>
      </c>
      <c r="J370" s="64" t="n">
        <v>2</v>
      </c>
    </row>
    <row r="371" customFormat="false" ht="15" hidden="false" customHeight="false" outlineLevel="0" collapsed="false">
      <c r="A371" s="70" t="n">
        <v>46304</v>
      </c>
      <c r="B371" s="64" t="s">
        <v>23</v>
      </c>
      <c r="C371" s="64" t="s">
        <v>78</v>
      </c>
      <c r="D371" s="64" t="s">
        <v>7</v>
      </c>
      <c r="E371" s="64" t="s">
        <v>28</v>
      </c>
      <c r="F371" s="71" t="n">
        <f aca="false">Menu!E207</f>
        <v>7</v>
      </c>
      <c r="G371" s="64" t="s">
        <v>15</v>
      </c>
      <c r="H371" s="66" t="n">
        <f aca="false">F371/INDEX(Valeurs!$B$2:$B$40,MATCH(E371,Valeurs!$A$2:$A$40,0))*INDEX(Valeurs!$D$2:$D$40,MATCH(E371,Valeurs!$A$2:$A$40,0))</f>
        <v>63</v>
      </c>
      <c r="I371" s="72" t="n">
        <f aca="false">F371/INDEX(Valeurs!$B$2:$B$40,MATCH(E371,Valeurs!$A$2:$A$40,0))*INDEX(Valeurs!$E$2:$E$40,MATCH(E371,Valeurs!$A$2:$A$40,0))</f>
        <v>0</v>
      </c>
      <c r="J371" s="64" t="n">
        <v>2</v>
      </c>
    </row>
    <row r="372" customFormat="false" ht="15" hidden="false" customHeight="false" outlineLevel="0" collapsed="false">
      <c r="A372" s="70" t="n">
        <v>46304</v>
      </c>
      <c r="B372" s="64" t="s">
        <v>29</v>
      </c>
      <c r="C372" s="64" t="s">
        <v>79</v>
      </c>
      <c r="D372" s="64" t="s">
        <v>6</v>
      </c>
      <c r="E372" s="64" t="s">
        <v>17</v>
      </c>
      <c r="F372" s="71" t="n">
        <f aca="false">Menu!D208</f>
        <v>2</v>
      </c>
      <c r="G372" s="64" t="s">
        <v>171</v>
      </c>
      <c r="H372" s="66" t="n">
        <f aca="false">F372/INDEX(Valeurs!$B$2:$B$40,MATCH(E372,Valeurs!$A$2:$A$40,0))*INDEX(Valeurs!$D$2:$D$40,MATCH(E372,Valeurs!$A$2:$A$40,0))</f>
        <v>174</v>
      </c>
      <c r="I372" s="72" t="n">
        <f aca="false">F372/INDEX(Valeurs!$B$2:$B$40,MATCH(E372,Valeurs!$A$2:$A$40,0))*INDEX(Valeurs!$E$2:$E$40,MATCH(E372,Valeurs!$A$2:$A$40,0))</f>
        <v>15</v>
      </c>
      <c r="J372" s="64" t="n">
        <v>2</v>
      </c>
    </row>
    <row r="373" customFormat="false" ht="15" hidden="false" customHeight="false" outlineLevel="0" collapsed="false">
      <c r="A373" s="70" t="n">
        <v>46304</v>
      </c>
      <c r="B373" s="64" t="s">
        <v>29</v>
      </c>
      <c r="C373" s="64" t="s">
        <v>79</v>
      </c>
      <c r="D373" s="64" t="s">
        <v>7</v>
      </c>
      <c r="E373" s="64" t="s">
        <v>17</v>
      </c>
      <c r="F373" s="71" t="n">
        <f aca="false">Menu!E208</f>
        <v>2</v>
      </c>
      <c r="G373" s="64" t="s">
        <v>171</v>
      </c>
      <c r="H373" s="66" t="n">
        <f aca="false">F373/INDEX(Valeurs!$B$2:$B$40,MATCH(E373,Valeurs!$A$2:$A$40,0))*INDEX(Valeurs!$D$2:$D$40,MATCH(E373,Valeurs!$A$2:$A$40,0))</f>
        <v>174</v>
      </c>
      <c r="I373" s="72" t="n">
        <f aca="false">F373/INDEX(Valeurs!$B$2:$B$40,MATCH(E373,Valeurs!$A$2:$A$40,0))*INDEX(Valeurs!$E$2:$E$40,MATCH(E373,Valeurs!$A$2:$A$40,0))</f>
        <v>15</v>
      </c>
      <c r="J373" s="64" t="n">
        <v>2</v>
      </c>
    </row>
    <row r="374" customFormat="false" ht="15" hidden="false" customHeight="false" outlineLevel="0" collapsed="false">
      <c r="A374" s="70" t="n">
        <v>46304</v>
      </c>
      <c r="B374" s="64" t="s">
        <v>29</v>
      </c>
      <c r="C374" s="64" t="s">
        <v>79</v>
      </c>
      <c r="D374" s="64" t="s">
        <v>6</v>
      </c>
      <c r="E374" s="64" t="s">
        <v>80</v>
      </c>
      <c r="F374" s="71" t="n">
        <f aca="false">Menu!D209</f>
        <v>60</v>
      </c>
      <c r="G374" s="64" t="s">
        <v>15</v>
      </c>
      <c r="H374" s="66" t="n">
        <f aca="false">F374/INDEX(Valeurs!$B$2:$B$40,MATCH(E374,Valeurs!$A$2:$A$40,0))*INDEX(Valeurs!$D$2:$D$40,MATCH(E374,Valeurs!$A$2:$A$40,0))</f>
        <v>162</v>
      </c>
      <c r="I374" s="72" t="n">
        <f aca="false">F374/INDEX(Valeurs!$B$2:$B$40,MATCH(E374,Valeurs!$A$2:$A$40,0))*INDEX(Valeurs!$E$2:$E$40,MATCH(E374,Valeurs!$A$2:$A$40,0))</f>
        <v>9</v>
      </c>
      <c r="J374" s="64" t="n">
        <v>2</v>
      </c>
    </row>
    <row r="375" customFormat="false" ht="15" hidden="false" customHeight="false" outlineLevel="0" collapsed="false">
      <c r="A375" s="70" t="n">
        <v>46304</v>
      </c>
      <c r="B375" s="64" t="s">
        <v>29</v>
      </c>
      <c r="C375" s="64" t="s">
        <v>79</v>
      </c>
      <c r="D375" s="64" t="s">
        <v>7</v>
      </c>
      <c r="E375" s="64" t="s">
        <v>80</v>
      </c>
      <c r="F375" s="71" t="n">
        <f aca="false">Menu!E209</f>
        <v>40</v>
      </c>
      <c r="G375" s="64" t="s">
        <v>15</v>
      </c>
      <c r="H375" s="66" t="n">
        <f aca="false">F375/INDEX(Valeurs!$B$2:$B$40,MATCH(E375,Valeurs!$A$2:$A$40,0))*INDEX(Valeurs!$D$2:$D$40,MATCH(E375,Valeurs!$A$2:$A$40,0))</f>
        <v>108</v>
      </c>
      <c r="I375" s="72" t="n">
        <f aca="false">F375/INDEX(Valeurs!$B$2:$B$40,MATCH(E375,Valeurs!$A$2:$A$40,0))*INDEX(Valeurs!$E$2:$E$40,MATCH(E375,Valeurs!$A$2:$A$40,0))</f>
        <v>6</v>
      </c>
      <c r="J375" s="64" t="n">
        <v>2</v>
      </c>
    </row>
    <row r="376" customFormat="false" ht="15" hidden="false" customHeight="false" outlineLevel="0" collapsed="false">
      <c r="A376" s="70" t="n">
        <v>46304</v>
      </c>
      <c r="B376" s="64" t="s">
        <v>29</v>
      </c>
      <c r="C376" s="64" t="s">
        <v>79</v>
      </c>
      <c r="D376" s="64" t="s">
        <v>6</v>
      </c>
      <c r="E376" s="64" t="s">
        <v>12</v>
      </c>
      <c r="F376" s="71" t="n">
        <f aca="false">Menu!D210</f>
        <v>100</v>
      </c>
      <c r="G376" s="64" t="s">
        <v>13</v>
      </c>
      <c r="H376" s="66" t="n">
        <f aca="false">F376/INDEX(Valeurs!$B$2:$B$40,MATCH(E376,Valeurs!$A$2:$A$40,0))*INDEX(Valeurs!$D$2:$D$40,MATCH(E376,Valeurs!$A$2:$A$40,0))</f>
        <v>46</v>
      </c>
      <c r="I376" s="72" t="n">
        <f aca="false">F376/INDEX(Valeurs!$B$2:$B$40,MATCH(E376,Valeurs!$A$2:$A$40,0))*INDEX(Valeurs!$E$2:$E$40,MATCH(E376,Valeurs!$A$2:$A$40,0))</f>
        <v>3.3</v>
      </c>
      <c r="J376" s="64" t="n">
        <v>2</v>
      </c>
    </row>
    <row r="377" customFormat="false" ht="15" hidden="false" customHeight="false" outlineLevel="0" collapsed="false">
      <c r="A377" s="70" t="n">
        <v>46304</v>
      </c>
      <c r="B377" s="64" t="s">
        <v>29</v>
      </c>
      <c r="C377" s="64" t="s">
        <v>79</v>
      </c>
      <c r="D377" s="64" t="s">
        <v>7</v>
      </c>
      <c r="E377" s="64" t="s">
        <v>12</v>
      </c>
      <c r="F377" s="71" t="n">
        <f aca="false">Menu!E210</f>
        <v>100</v>
      </c>
      <c r="G377" s="64" t="s">
        <v>13</v>
      </c>
      <c r="H377" s="66" t="n">
        <f aca="false">F377/INDEX(Valeurs!$B$2:$B$40,MATCH(E377,Valeurs!$A$2:$A$40,0))*INDEX(Valeurs!$D$2:$D$40,MATCH(E377,Valeurs!$A$2:$A$40,0))</f>
        <v>46</v>
      </c>
      <c r="I377" s="72" t="n">
        <f aca="false">F377/INDEX(Valeurs!$B$2:$B$40,MATCH(E377,Valeurs!$A$2:$A$40,0))*INDEX(Valeurs!$E$2:$E$40,MATCH(E377,Valeurs!$A$2:$A$40,0))</f>
        <v>3.3</v>
      </c>
      <c r="J377" s="64" t="n">
        <v>2</v>
      </c>
    </row>
    <row r="378" customFormat="false" ht="15" hidden="false" customHeight="false" outlineLevel="0" collapsed="false">
      <c r="A378" s="70" t="n">
        <v>46304</v>
      </c>
      <c r="B378" s="64" t="s">
        <v>29</v>
      </c>
      <c r="C378" s="64" t="s">
        <v>79</v>
      </c>
      <c r="D378" s="64" t="s">
        <v>6</v>
      </c>
      <c r="E378" s="64" t="s">
        <v>81</v>
      </c>
      <c r="F378" s="71" t="n">
        <f aca="false">Menu!D211</f>
        <v>60</v>
      </c>
      <c r="G378" s="64" t="s">
        <v>15</v>
      </c>
      <c r="H378" s="66" t="n">
        <f aca="false">F378/INDEX(Valeurs!$B$2:$B$40,MATCH(E378,Valeurs!$A$2:$A$40,0))*INDEX(Valeurs!$D$2:$D$40,MATCH(E378,Valeurs!$A$2:$A$40,0))</f>
        <v>210</v>
      </c>
      <c r="I378" s="72" t="n">
        <f aca="false">F378/INDEX(Valeurs!$B$2:$B$40,MATCH(E378,Valeurs!$A$2:$A$40,0))*INDEX(Valeurs!$E$2:$E$40,MATCH(E378,Valeurs!$A$2:$A$40,0))</f>
        <v>6</v>
      </c>
      <c r="J378" s="64" t="n">
        <v>2</v>
      </c>
    </row>
    <row r="379" customFormat="false" ht="15" hidden="false" customHeight="false" outlineLevel="0" collapsed="false">
      <c r="A379" s="70" t="n">
        <v>46304</v>
      </c>
      <c r="B379" s="64" t="s">
        <v>29</v>
      </c>
      <c r="C379" s="64" t="s">
        <v>79</v>
      </c>
      <c r="D379" s="64" t="s">
        <v>7</v>
      </c>
      <c r="E379" s="64" t="s">
        <v>81</v>
      </c>
      <c r="F379" s="71" t="n">
        <f aca="false">Menu!E211</f>
        <v>35</v>
      </c>
      <c r="G379" s="64" t="s">
        <v>15</v>
      </c>
      <c r="H379" s="66" t="n">
        <f aca="false">F379/INDEX(Valeurs!$B$2:$B$40,MATCH(E379,Valeurs!$A$2:$A$40,0))*INDEX(Valeurs!$D$2:$D$40,MATCH(E379,Valeurs!$A$2:$A$40,0))</f>
        <v>122.5</v>
      </c>
      <c r="I379" s="72" t="n">
        <f aca="false">F379/INDEX(Valeurs!$B$2:$B$40,MATCH(E379,Valeurs!$A$2:$A$40,0))*INDEX(Valeurs!$E$2:$E$40,MATCH(E379,Valeurs!$A$2:$A$40,0))</f>
        <v>3.5</v>
      </c>
      <c r="J379" s="64" t="n">
        <v>2</v>
      </c>
    </row>
    <row r="380" customFormat="false" ht="15" hidden="false" customHeight="false" outlineLevel="0" collapsed="false">
      <c r="A380" s="70" t="n">
        <v>46304</v>
      </c>
      <c r="B380" s="64" t="s">
        <v>29</v>
      </c>
      <c r="C380" s="64" t="s">
        <v>79</v>
      </c>
      <c r="D380" s="64" t="s">
        <v>6</v>
      </c>
      <c r="E380" s="64" t="s">
        <v>28</v>
      </c>
      <c r="F380" s="71" t="n">
        <f aca="false">Menu!D212</f>
        <v>12</v>
      </c>
      <c r="G380" s="64" t="s">
        <v>15</v>
      </c>
      <c r="H380" s="66" t="n">
        <f aca="false">F380/INDEX(Valeurs!$B$2:$B$40,MATCH(E380,Valeurs!$A$2:$A$40,0))*INDEX(Valeurs!$D$2:$D$40,MATCH(E380,Valeurs!$A$2:$A$40,0))</f>
        <v>108</v>
      </c>
      <c r="I380" s="72" t="n">
        <f aca="false">F380/INDEX(Valeurs!$B$2:$B$40,MATCH(E380,Valeurs!$A$2:$A$40,0))*INDEX(Valeurs!$E$2:$E$40,MATCH(E380,Valeurs!$A$2:$A$40,0))</f>
        <v>0</v>
      </c>
      <c r="J380" s="64" t="n">
        <v>2</v>
      </c>
    </row>
    <row r="381" customFormat="false" ht="15" hidden="false" customHeight="false" outlineLevel="0" collapsed="false">
      <c r="A381" s="70" t="n">
        <v>46304</v>
      </c>
      <c r="B381" s="64" t="s">
        <v>29</v>
      </c>
      <c r="C381" s="64" t="s">
        <v>79</v>
      </c>
      <c r="D381" s="64" t="s">
        <v>7</v>
      </c>
      <c r="E381" s="64" t="s">
        <v>28</v>
      </c>
      <c r="F381" s="71" t="n">
        <f aca="false">Menu!E212</f>
        <v>7</v>
      </c>
      <c r="G381" s="64" t="s">
        <v>15</v>
      </c>
      <c r="H381" s="66" t="n">
        <f aca="false">F381/INDEX(Valeurs!$B$2:$B$40,MATCH(E381,Valeurs!$A$2:$A$40,0))*INDEX(Valeurs!$D$2:$D$40,MATCH(E381,Valeurs!$A$2:$A$40,0))</f>
        <v>63</v>
      </c>
      <c r="I381" s="72" t="n">
        <f aca="false">F381/INDEX(Valeurs!$B$2:$B$40,MATCH(E381,Valeurs!$A$2:$A$40,0))*INDEX(Valeurs!$E$2:$E$40,MATCH(E381,Valeurs!$A$2:$A$40,0))</f>
        <v>0</v>
      </c>
      <c r="J381" s="64" t="n">
        <v>2</v>
      </c>
    </row>
    <row r="382" customFormat="false" ht="15" hidden="false" customHeight="false" outlineLevel="0" collapsed="false">
      <c r="A382" s="70" t="n">
        <v>46304</v>
      </c>
      <c r="B382" s="64" t="s">
        <v>29</v>
      </c>
      <c r="C382" s="64" t="s">
        <v>79</v>
      </c>
      <c r="D382" s="64" t="s">
        <v>6</v>
      </c>
      <c r="E382" s="64" t="s">
        <v>33</v>
      </c>
      <c r="F382" s="71" t="n">
        <f aca="false">Menu!D213</f>
        <v>150</v>
      </c>
      <c r="G382" s="64" t="s">
        <v>15</v>
      </c>
      <c r="H382" s="66" t="n">
        <f aca="false">F382/INDEX(Valeurs!$B$2:$B$40,MATCH(E382,Valeurs!$A$2:$A$40,0))*INDEX(Valeurs!$D$2:$D$40,MATCH(E382,Valeurs!$A$2:$A$40,0))</f>
        <v>25.5</v>
      </c>
      <c r="I382" s="72" t="n">
        <f aca="false">F382/INDEX(Valeurs!$B$2:$B$40,MATCH(E382,Valeurs!$A$2:$A$40,0))*INDEX(Valeurs!$E$2:$E$40,MATCH(E382,Valeurs!$A$2:$A$40,0))</f>
        <v>1.8</v>
      </c>
      <c r="J382" s="64" t="n">
        <v>2</v>
      </c>
    </row>
    <row r="383" customFormat="false" ht="15" hidden="false" customHeight="false" outlineLevel="0" collapsed="false">
      <c r="A383" s="70" t="n">
        <v>46304</v>
      </c>
      <c r="B383" s="64" t="s">
        <v>29</v>
      </c>
      <c r="C383" s="64" t="s">
        <v>79</v>
      </c>
      <c r="D383" s="64" t="s">
        <v>7</v>
      </c>
      <c r="E383" s="64" t="s">
        <v>33</v>
      </c>
      <c r="F383" s="71" t="n">
        <f aca="false">Menu!E213</f>
        <v>150</v>
      </c>
      <c r="G383" s="64" t="s">
        <v>15</v>
      </c>
      <c r="H383" s="66" t="n">
        <f aca="false">F383/INDEX(Valeurs!$B$2:$B$40,MATCH(E383,Valeurs!$A$2:$A$40,0))*INDEX(Valeurs!$D$2:$D$40,MATCH(E383,Valeurs!$A$2:$A$40,0))</f>
        <v>25.5</v>
      </c>
      <c r="I383" s="72" t="n">
        <f aca="false">F383/INDEX(Valeurs!$B$2:$B$40,MATCH(E383,Valeurs!$A$2:$A$40,0))*INDEX(Valeurs!$E$2:$E$40,MATCH(E383,Valeurs!$A$2:$A$40,0))</f>
        <v>1.8</v>
      </c>
      <c r="J383" s="64" t="n">
        <v>2</v>
      </c>
    </row>
    <row r="384" customFormat="false" ht="15" hidden="false" customHeight="false" outlineLevel="0" collapsed="false">
      <c r="A384" s="70" t="n">
        <v>46304</v>
      </c>
      <c r="B384" s="64" t="s">
        <v>29</v>
      </c>
      <c r="C384" s="64" t="s">
        <v>79</v>
      </c>
      <c r="D384" s="64" t="s">
        <v>6</v>
      </c>
      <c r="E384" s="64" t="s">
        <v>35</v>
      </c>
      <c r="F384" s="71" t="n">
        <f aca="false">Menu!D214</f>
        <v>20</v>
      </c>
      <c r="G384" s="64" t="s">
        <v>15</v>
      </c>
      <c r="H384" s="66" t="n">
        <f aca="false">F384/INDEX(Valeurs!$B$2:$B$40,MATCH(E384,Valeurs!$A$2:$A$40,0))*INDEX(Valeurs!$D$2:$D$40,MATCH(E384,Valeurs!$A$2:$A$40,0))</f>
        <v>8</v>
      </c>
      <c r="I384" s="72" t="n">
        <f aca="false">F384/INDEX(Valeurs!$B$2:$B$40,MATCH(E384,Valeurs!$A$2:$A$40,0))*INDEX(Valeurs!$E$2:$E$40,MATCH(E384,Valeurs!$A$2:$A$40,0))</f>
        <v>0.22</v>
      </c>
      <c r="J384" s="64" t="n">
        <v>2</v>
      </c>
    </row>
    <row r="385" customFormat="false" ht="15" hidden="false" customHeight="false" outlineLevel="0" collapsed="false">
      <c r="A385" s="70" t="n">
        <v>46304</v>
      </c>
      <c r="B385" s="64" t="s">
        <v>29</v>
      </c>
      <c r="C385" s="64" t="s">
        <v>79</v>
      </c>
      <c r="D385" s="64" t="s">
        <v>7</v>
      </c>
      <c r="E385" s="64" t="s">
        <v>35</v>
      </c>
      <c r="F385" s="71" t="n">
        <f aca="false">Menu!E214</f>
        <v>20</v>
      </c>
      <c r="G385" s="64" t="s">
        <v>15</v>
      </c>
      <c r="H385" s="66" t="n">
        <f aca="false">F385/INDEX(Valeurs!$B$2:$B$40,MATCH(E385,Valeurs!$A$2:$A$40,0))*INDEX(Valeurs!$D$2:$D$40,MATCH(E385,Valeurs!$A$2:$A$40,0))</f>
        <v>8</v>
      </c>
      <c r="I385" s="72" t="n">
        <f aca="false">F385/INDEX(Valeurs!$B$2:$B$40,MATCH(E385,Valeurs!$A$2:$A$40,0))*INDEX(Valeurs!$E$2:$E$40,MATCH(E385,Valeurs!$A$2:$A$40,0))</f>
        <v>0.22</v>
      </c>
      <c r="J385" s="64" t="n">
        <v>2</v>
      </c>
    </row>
    <row r="386" customFormat="false" ht="15" hidden="false" customHeight="false" outlineLevel="0" collapsed="false">
      <c r="A386" s="70" t="n">
        <v>46304</v>
      </c>
      <c r="B386" s="64" t="s">
        <v>29</v>
      </c>
      <c r="C386" s="64" t="s">
        <v>79</v>
      </c>
      <c r="D386" s="64" t="s">
        <v>6</v>
      </c>
      <c r="E386" s="64" t="s">
        <v>46</v>
      </c>
      <c r="F386" s="71" t="n">
        <f aca="false">Menu!D215</f>
        <v>40</v>
      </c>
      <c r="G386" s="64" t="s">
        <v>15</v>
      </c>
      <c r="H386" s="66" t="n">
        <f aca="false">F386/INDEX(Valeurs!$B$2:$B$40,MATCH(E386,Valeurs!$A$2:$A$40,0))*INDEX(Valeurs!$D$2:$D$40,MATCH(E386,Valeurs!$A$2:$A$40,0))</f>
        <v>6</v>
      </c>
      <c r="I386" s="72" t="n">
        <f aca="false">F386/INDEX(Valeurs!$B$2:$B$40,MATCH(E386,Valeurs!$A$2:$A$40,0))*INDEX(Valeurs!$E$2:$E$40,MATCH(E386,Valeurs!$A$2:$A$40,0))</f>
        <v>0.56</v>
      </c>
      <c r="J386" s="64" t="n">
        <v>2</v>
      </c>
    </row>
    <row r="387" customFormat="false" ht="15" hidden="false" customHeight="false" outlineLevel="0" collapsed="false">
      <c r="A387" s="70" t="n">
        <v>46304</v>
      </c>
      <c r="B387" s="64" t="s">
        <v>29</v>
      </c>
      <c r="C387" s="64" t="s">
        <v>79</v>
      </c>
      <c r="D387" s="64" t="s">
        <v>7</v>
      </c>
      <c r="E387" s="64" t="s">
        <v>46</v>
      </c>
      <c r="F387" s="71" t="n">
        <f aca="false">Menu!E215</f>
        <v>60</v>
      </c>
      <c r="G387" s="64" t="s">
        <v>15</v>
      </c>
      <c r="H387" s="66" t="n">
        <f aca="false">F387/INDEX(Valeurs!$B$2:$B$40,MATCH(E387,Valeurs!$A$2:$A$40,0))*INDEX(Valeurs!$D$2:$D$40,MATCH(E387,Valeurs!$A$2:$A$40,0))</f>
        <v>9</v>
      </c>
      <c r="I387" s="72" t="n">
        <f aca="false">F387/INDEX(Valeurs!$B$2:$B$40,MATCH(E387,Valeurs!$A$2:$A$40,0))*INDEX(Valeurs!$E$2:$E$40,MATCH(E387,Valeurs!$A$2:$A$40,0))</f>
        <v>0.84</v>
      </c>
      <c r="J387" s="64" t="n">
        <v>2</v>
      </c>
    </row>
    <row r="388" customFormat="false" ht="15" hidden="false" customHeight="false" outlineLevel="0" collapsed="false">
      <c r="A388" s="70" t="n">
        <v>46304</v>
      </c>
      <c r="B388" s="64" t="s">
        <v>29</v>
      </c>
      <c r="C388" s="64" t="s">
        <v>79</v>
      </c>
      <c r="D388" s="64" t="s">
        <v>6</v>
      </c>
      <c r="E388" s="64" t="s">
        <v>20</v>
      </c>
      <c r="F388" s="71" t="n">
        <f aca="false">Menu!D216</f>
        <v>100</v>
      </c>
      <c r="G388" s="64" t="s">
        <v>15</v>
      </c>
      <c r="H388" s="66" t="n">
        <f aca="false">F388/INDEX(Valeurs!$B$2:$B$40,MATCH(E388,Valeurs!$A$2:$A$40,0))*INDEX(Valeurs!$D$2:$D$40,MATCH(E388,Valeurs!$A$2:$A$40,0))</f>
        <v>18</v>
      </c>
      <c r="I388" s="72" t="n">
        <f aca="false">F388/INDEX(Valeurs!$B$2:$B$40,MATCH(E388,Valeurs!$A$2:$A$40,0))*INDEX(Valeurs!$E$2:$E$40,MATCH(E388,Valeurs!$A$2:$A$40,0))</f>
        <v>0.9</v>
      </c>
      <c r="J388" s="64" t="n">
        <v>2</v>
      </c>
    </row>
    <row r="389" customFormat="false" ht="15" hidden="false" customHeight="false" outlineLevel="0" collapsed="false">
      <c r="A389" s="70" t="n">
        <v>46304</v>
      </c>
      <c r="B389" s="64" t="s">
        <v>29</v>
      </c>
      <c r="C389" s="64" t="s">
        <v>79</v>
      </c>
      <c r="D389" s="64" t="s">
        <v>7</v>
      </c>
      <c r="E389" s="64" t="s">
        <v>20</v>
      </c>
      <c r="F389" s="71" t="n">
        <f aca="false">Menu!E216</f>
        <v>130</v>
      </c>
      <c r="G389" s="64" t="s">
        <v>15</v>
      </c>
      <c r="H389" s="66" t="n">
        <f aca="false">F389/INDEX(Valeurs!$B$2:$B$40,MATCH(E389,Valeurs!$A$2:$A$40,0))*INDEX(Valeurs!$D$2:$D$40,MATCH(E389,Valeurs!$A$2:$A$40,0))</f>
        <v>23.4</v>
      </c>
      <c r="I389" s="72" t="n">
        <f aca="false">F389/INDEX(Valeurs!$B$2:$B$40,MATCH(E389,Valeurs!$A$2:$A$40,0))*INDEX(Valeurs!$E$2:$E$40,MATCH(E389,Valeurs!$A$2:$A$40,0))</f>
        <v>1.17</v>
      </c>
      <c r="J389" s="64" t="n">
        <v>2</v>
      </c>
    </row>
    <row r="390" customFormat="false" ht="15" hidden="false" customHeight="false" outlineLevel="0" collapsed="false">
      <c r="A390" s="70" t="n">
        <v>46304</v>
      </c>
      <c r="B390" s="64" t="s">
        <v>36</v>
      </c>
      <c r="C390" s="64" t="s">
        <v>47</v>
      </c>
      <c r="D390" s="64" t="s">
        <v>6</v>
      </c>
      <c r="E390" s="64" t="s">
        <v>47</v>
      </c>
      <c r="F390" s="71" t="n">
        <f aca="false">Menu!D217</f>
        <v>110</v>
      </c>
      <c r="G390" s="64" t="s">
        <v>15</v>
      </c>
      <c r="H390" s="66" t="n">
        <f aca="false">F390/INDEX(Valeurs!$B$2:$B$40,MATCH(E390,Valeurs!$A$2:$A$40,0))*INDEX(Valeurs!$D$2:$D$40,MATCH(E390,Valeurs!$A$2:$A$40,0))</f>
        <v>55</v>
      </c>
      <c r="I390" s="72" t="n">
        <f aca="false">F390/INDEX(Valeurs!$B$2:$B$40,MATCH(E390,Valeurs!$A$2:$A$40,0))*INDEX(Valeurs!$E$2:$E$40,MATCH(E390,Valeurs!$A$2:$A$40,0))</f>
        <v>0.55</v>
      </c>
      <c r="J390" s="64" t="n">
        <v>2</v>
      </c>
    </row>
    <row r="391" customFormat="false" ht="15" hidden="false" customHeight="false" outlineLevel="0" collapsed="false">
      <c r="A391" s="70" t="n">
        <v>46304</v>
      </c>
      <c r="B391" s="64" t="s">
        <v>36</v>
      </c>
      <c r="C391" s="64" t="s">
        <v>47</v>
      </c>
      <c r="D391" s="64" t="s">
        <v>7</v>
      </c>
      <c r="E391" s="64" t="s">
        <v>47</v>
      </c>
      <c r="F391" s="71" t="n">
        <f aca="false">Menu!E217</f>
        <v>90</v>
      </c>
      <c r="G391" s="64" t="s">
        <v>15</v>
      </c>
      <c r="H391" s="66" t="n">
        <f aca="false">F391/INDEX(Valeurs!$B$2:$B$40,MATCH(E391,Valeurs!$A$2:$A$40,0))*INDEX(Valeurs!$D$2:$D$40,MATCH(E391,Valeurs!$A$2:$A$40,0))</f>
        <v>45</v>
      </c>
      <c r="I391" s="72" t="n">
        <f aca="false">F391/INDEX(Valeurs!$B$2:$B$40,MATCH(E391,Valeurs!$A$2:$A$40,0))*INDEX(Valeurs!$E$2:$E$40,MATCH(E391,Valeurs!$A$2:$A$40,0))</f>
        <v>0.45</v>
      </c>
      <c r="J391" s="64" t="n">
        <v>2</v>
      </c>
    </row>
    <row r="392" customFormat="false" ht="15" hidden="false" customHeight="false" outlineLevel="0" collapsed="false">
      <c r="A392" s="70" t="n">
        <v>46305</v>
      </c>
      <c r="B392" s="64" t="s">
        <v>10</v>
      </c>
      <c r="C392" s="64" t="s">
        <v>11</v>
      </c>
      <c r="D392" s="64" t="s">
        <v>6</v>
      </c>
      <c r="E392" s="64" t="s">
        <v>12</v>
      </c>
      <c r="F392" s="71" t="n">
        <f aca="false">Menu!D220</f>
        <v>250</v>
      </c>
      <c r="G392" s="64" t="s">
        <v>13</v>
      </c>
      <c r="H392" s="66" t="n">
        <f aca="false">F392/INDEX(Valeurs!$B$2:$B$40,MATCH(E392,Valeurs!$A$2:$A$40,0))*INDEX(Valeurs!$D$2:$D$40,MATCH(E392,Valeurs!$A$2:$A$40,0))</f>
        <v>115</v>
      </c>
      <c r="I392" s="72" t="n">
        <f aca="false">F392/INDEX(Valeurs!$B$2:$B$40,MATCH(E392,Valeurs!$A$2:$A$40,0))*INDEX(Valeurs!$E$2:$E$40,MATCH(E392,Valeurs!$A$2:$A$40,0))</f>
        <v>8.25</v>
      </c>
      <c r="J392" s="64" t="n">
        <v>2</v>
      </c>
    </row>
    <row r="393" customFormat="false" ht="15" hidden="false" customHeight="false" outlineLevel="0" collapsed="false">
      <c r="A393" s="70" t="n">
        <v>46305</v>
      </c>
      <c r="B393" s="64" t="s">
        <v>10</v>
      </c>
      <c r="C393" s="64" t="s">
        <v>11</v>
      </c>
      <c r="D393" s="64" t="s">
        <v>7</v>
      </c>
      <c r="E393" s="64" t="s">
        <v>12</v>
      </c>
      <c r="F393" s="71" t="n">
        <f aca="false">Menu!E220</f>
        <v>0</v>
      </c>
      <c r="G393" s="64" t="s">
        <v>13</v>
      </c>
      <c r="H393" s="66" t="n">
        <f aca="false">F393/INDEX(Valeurs!$B$2:$B$40,MATCH(E393,Valeurs!$A$2:$A$40,0))*INDEX(Valeurs!$D$2:$D$40,MATCH(E393,Valeurs!$A$2:$A$40,0))</f>
        <v>0</v>
      </c>
      <c r="I393" s="72" t="n">
        <f aca="false">F393/INDEX(Valeurs!$B$2:$B$40,MATCH(E393,Valeurs!$A$2:$A$40,0))*INDEX(Valeurs!$E$2:$E$40,MATCH(E393,Valeurs!$A$2:$A$40,0))</f>
        <v>0</v>
      </c>
      <c r="J393" s="64" t="n">
        <v>2</v>
      </c>
    </row>
    <row r="394" customFormat="false" ht="15" hidden="false" customHeight="false" outlineLevel="0" collapsed="false">
      <c r="A394" s="70" t="n">
        <v>46305</v>
      </c>
      <c r="B394" s="64" t="s">
        <v>10</v>
      </c>
      <c r="C394" s="64" t="s">
        <v>11</v>
      </c>
      <c r="D394" s="64" t="s">
        <v>6</v>
      </c>
      <c r="E394" s="64" t="s">
        <v>14</v>
      </c>
      <c r="F394" s="71" t="n">
        <f aca="false">Menu!D221</f>
        <v>100</v>
      </c>
      <c r="G394" s="64" t="s">
        <v>15</v>
      </c>
      <c r="H394" s="66" t="n">
        <f aca="false">F394/INDEX(Valeurs!$B$2:$B$40,MATCH(E394,Valeurs!$A$2:$A$40,0))*INDEX(Valeurs!$D$2:$D$40,MATCH(E394,Valeurs!$A$2:$A$40,0))</f>
        <v>90</v>
      </c>
      <c r="I394" s="72" t="n">
        <f aca="false">F394/INDEX(Valeurs!$B$2:$B$40,MATCH(E394,Valeurs!$A$2:$A$40,0))*INDEX(Valeurs!$E$2:$E$40,MATCH(E394,Valeurs!$A$2:$A$40,0))</f>
        <v>1.1</v>
      </c>
      <c r="J394" s="64" t="n">
        <v>2</v>
      </c>
    </row>
    <row r="395" customFormat="false" ht="15" hidden="false" customHeight="false" outlineLevel="0" collapsed="false">
      <c r="A395" s="70" t="n">
        <v>46305</v>
      </c>
      <c r="B395" s="64" t="s">
        <v>10</v>
      </c>
      <c r="C395" s="64" t="s">
        <v>11</v>
      </c>
      <c r="D395" s="64" t="s">
        <v>7</v>
      </c>
      <c r="E395" s="64" t="s">
        <v>14</v>
      </c>
      <c r="F395" s="71" t="n">
        <f aca="false">Menu!E221</f>
        <v>0</v>
      </c>
      <c r="G395" s="64" t="s">
        <v>15</v>
      </c>
      <c r="H395" s="66" t="n">
        <f aca="false">F395/INDEX(Valeurs!$B$2:$B$40,MATCH(E395,Valeurs!$A$2:$A$40,0))*INDEX(Valeurs!$D$2:$D$40,MATCH(E395,Valeurs!$A$2:$A$40,0))</f>
        <v>0</v>
      </c>
      <c r="I395" s="72" t="n">
        <f aca="false">F395/INDEX(Valeurs!$B$2:$B$40,MATCH(E395,Valeurs!$A$2:$A$40,0))*INDEX(Valeurs!$E$2:$E$40,MATCH(E395,Valeurs!$A$2:$A$40,0))</f>
        <v>0</v>
      </c>
      <c r="J395" s="64" t="n">
        <v>2</v>
      </c>
    </row>
    <row r="396" customFormat="false" ht="15" hidden="false" customHeight="false" outlineLevel="0" collapsed="false">
      <c r="A396" s="70" t="n">
        <v>46305</v>
      </c>
      <c r="B396" s="64" t="s">
        <v>10</v>
      </c>
      <c r="C396" s="64" t="s">
        <v>11</v>
      </c>
      <c r="D396" s="64" t="s">
        <v>6</v>
      </c>
      <c r="E396" s="64" t="s">
        <v>16</v>
      </c>
      <c r="F396" s="71" t="n">
        <f aca="false">Menu!D222</f>
        <v>65</v>
      </c>
      <c r="G396" s="64" t="s">
        <v>15</v>
      </c>
      <c r="H396" s="66" t="n">
        <f aca="false">F396/INDEX(Valeurs!$B$2:$B$40,MATCH(E396,Valeurs!$A$2:$A$40,0))*INDEX(Valeurs!$D$2:$D$40,MATCH(E396,Valeurs!$A$2:$A$40,0))</f>
        <v>241.8</v>
      </c>
      <c r="I396" s="72" t="n">
        <f aca="false">F396/INDEX(Valeurs!$B$2:$B$40,MATCH(E396,Valeurs!$A$2:$A$40,0))*INDEX(Valeurs!$E$2:$E$40,MATCH(E396,Valeurs!$A$2:$A$40,0))</f>
        <v>8.775</v>
      </c>
      <c r="J396" s="64" t="n">
        <v>2</v>
      </c>
    </row>
    <row r="397" customFormat="false" ht="15" hidden="false" customHeight="false" outlineLevel="0" collapsed="false">
      <c r="A397" s="70" t="n">
        <v>46305</v>
      </c>
      <c r="B397" s="64" t="s">
        <v>10</v>
      </c>
      <c r="C397" s="64" t="s">
        <v>11</v>
      </c>
      <c r="D397" s="64" t="s">
        <v>7</v>
      </c>
      <c r="E397" s="64" t="s">
        <v>16</v>
      </c>
      <c r="F397" s="71" t="n">
        <f aca="false">Menu!E222</f>
        <v>0</v>
      </c>
      <c r="G397" s="64" t="s">
        <v>15</v>
      </c>
      <c r="H397" s="66" t="n">
        <f aca="false">F397/INDEX(Valeurs!$B$2:$B$40,MATCH(E397,Valeurs!$A$2:$A$40,0))*INDEX(Valeurs!$D$2:$D$40,MATCH(E397,Valeurs!$A$2:$A$40,0))</f>
        <v>0</v>
      </c>
      <c r="I397" s="72" t="n">
        <f aca="false">F397/INDEX(Valeurs!$B$2:$B$40,MATCH(E397,Valeurs!$A$2:$A$40,0))*INDEX(Valeurs!$E$2:$E$40,MATCH(E397,Valeurs!$A$2:$A$40,0))</f>
        <v>0</v>
      </c>
      <c r="J397" s="64" t="n">
        <v>2</v>
      </c>
    </row>
    <row r="398" customFormat="false" ht="15" hidden="false" customHeight="false" outlineLevel="0" collapsed="false">
      <c r="A398" s="70" t="n">
        <v>46305</v>
      </c>
      <c r="B398" s="64" t="s">
        <v>10</v>
      </c>
      <c r="C398" s="64" t="s">
        <v>11</v>
      </c>
      <c r="D398" s="64" t="s">
        <v>6</v>
      </c>
      <c r="E398" s="64" t="s">
        <v>17</v>
      </c>
      <c r="F398" s="71" t="n">
        <f aca="false">Menu!D223</f>
        <v>1</v>
      </c>
      <c r="G398" s="64" t="s">
        <v>171</v>
      </c>
      <c r="H398" s="66" t="n">
        <f aca="false">F398/INDEX(Valeurs!$B$2:$B$40,MATCH(E398,Valeurs!$A$2:$A$40,0))*INDEX(Valeurs!$D$2:$D$40,MATCH(E398,Valeurs!$A$2:$A$40,0))</f>
        <v>87</v>
      </c>
      <c r="I398" s="72" t="n">
        <f aca="false">F398/INDEX(Valeurs!$B$2:$B$40,MATCH(E398,Valeurs!$A$2:$A$40,0))*INDEX(Valeurs!$E$2:$E$40,MATCH(E398,Valeurs!$A$2:$A$40,0))</f>
        <v>7.5</v>
      </c>
      <c r="J398" s="64" t="n">
        <v>2</v>
      </c>
    </row>
    <row r="399" customFormat="false" ht="15" hidden="false" customHeight="false" outlineLevel="0" collapsed="false">
      <c r="A399" s="70" t="n">
        <v>46305</v>
      </c>
      <c r="B399" s="64" t="s">
        <v>10</v>
      </c>
      <c r="C399" s="64" t="s">
        <v>11</v>
      </c>
      <c r="D399" s="64" t="s">
        <v>7</v>
      </c>
      <c r="E399" s="64" t="s">
        <v>17</v>
      </c>
      <c r="F399" s="71" t="n">
        <f aca="false">Menu!E223</f>
        <v>2</v>
      </c>
      <c r="G399" s="64" t="s">
        <v>171</v>
      </c>
      <c r="H399" s="66" t="n">
        <f aca="false">F399/INDEX(Valeurs!$B$2:$B$40,MATCH(E399,Valeurs!$A$2:$A$40,0))*INDEX(Valeurs!$D$2:$D$40,MATCH(E399,Valeurs!$A$2:$A$40,0))</f>
        <v>174</v>
      </c>
      <c r="I399" s="72" t="n">
        <f aca="false">F399/INDEX(Valeurs!$B$2:$B$40,MATCH(E399,Valeurs!$A$2:$A$40,0))*INDEX(Valeurs!$E$2:$E$40,MATCH(E399,Valeurs!$A$2:$A$40,0))</f>
        <v>15</v>
      </c>
      <c r="J399" s="64" t="n">
        <v>2</v>
      </c>
    </row>
    <row r="400" customFormat="false" ht="15" hidden="false" customHeight="false" outlineLevel="0" collapsed="false">
      <c r="A400" s="70" t="n">
        <v>46305</v>
      </c>
      <c r="B400" s="64" t="s">
        <v>10</v>
      </c>
      <c r="C400" s="64" t="s">
        <v>11</v>
      </c>
      <c r="D400" s="64" t="s">
        <v>6</v>
      </c>
      <c r="E400" s="64" t="s">
        <v>19</v>
      </c>
      <c r="F400" s="71" t="n">
        <f aca="false">Menu!D224</f>
        <v>0</v>
      </c>
      <c r="G400" s="64" t="s">
        <v>15</v>
      </c>
      <c r="H400" s="66" t="n">
        <f aca="false">F400/INDEX(Valeurs!$B$2:$B$40,MATCH(E400,Valeurs!$A$2:$A$40,0))*INDEX(Valeurs!$D$2:$D$40,MATCH(E400,Valeurs!$A$2:$A$40,0))</f>
        <v>0</v>
      </c>
      <c r="I400" s="72" t="n">
        <f aca="false">F400/INDEX(Valeurs!$B$2:$B$40,MATCH(E400,Valeurs!$A$2:$A$40,0))*INDEX(Valeurs!$E$2:$E$40,MATCH(E400,Valeurs!$A$2:$A$40,0))</f>
        <v>0</v>
      </c>
      <c r="J400" s="64" t="n">
        <v>2</v>
      </c>
    </row>
    <row r="401" customFormat="false" ht="15" hidden="false" customHeight="false" outlineLevel="0" collapsed="false">
      <c r="A401" s="70" t="n">
        <v>46305</v>
      </c>
      <c r="B401" s="64" t="s">
        <v>10</v>
      </c>
      <c r="C401" s="64" t="s">
        <v>11</v>
      </c>
      <c r="D401" s="64" t="s">
        <v>7</v>
      </c>
      <c r="E401" s="64" t="s">
        <v>19</v>
      </c>
      <c r="F401" s="71" t="n">
        <f aca="false">Menu!E224</f>
        <v>30</v>
      </c>
      <c r="G401" s="64" t="s">
        <v>15</v>
      </c>
      <c r="H401" s="66" t="n">
        <f aca="false">F401/INDEX(Valeurs!$B$2:$B$40,MATCH(E401,Valeurs!$A$2:$A$40,0))*INDEX(Valeurs!$D$2:$D$40,MATCH(E401,Valeurs!$A$2:$A$40,0))</f>
        <v>33</v>
      </c>
      <c r="I401" s="72" t="n">
        <f aca="false">F401/INDEX(Valeurs!$B$2:$B$40,MATCH(E401,Valeurs!$A$2:$A$40,0))*INDEX(Valeurs!$E$2:$E$40,MATCH(E401,Valeurs!$A$2:$A$40,0))</f>
        <v>6</v>
      </c>
      <c r="J401" s="64" t="n">
        <v>2</v>
      </c>
    </row>
    <row r="402" customFormat="false" ht="15" hidden="false" customHeight="false" outlineLevel="0" collapsed="false">
      <c r="A402" s="70" t="n">
        <v>46305</v>
      </c>
      <c r="B402" s="64" t="s">
        <v>10</v>
      </c>
      <c r="C402" s="64" t="s">
        <v>11</v>
      </c>
      <c r="D402" s="64" t="s">
        <v>6</v>
      </c>
      <c r="E402" s="64" t="s">
        <v>20</v>
      </c>
      <c r="F402" s="71" t="n">
        <f aca="false">Menu!D225</f>
        <v>0</v>
      </c>
      <c r="G402" s="64" t="s">
        <v>15</v>
      </c>
      <c r="H402" s="66" t="n">
        <f aca="false">F402/INDEX(Valeurs!$B$2:$B$40,MATCH(E402,Valeurs!$A$2:$A$40,0))*INDEX(Valeurs!$D$2:$D$40,MATCH(E402,Valeurs!$A$2:$A$40,0))</f>
        <v>0</v>
      </c>
      <c r="I402" s="72" t="n">
        <f aca="false">F402/INDEX(Valeurs!$B$2:$B$40,MATCH(E402,Valeurs!$A$2:$A$40,0))*INDEX(Valeurs!$E$2:$E$40,MATCH(E402,Valeurs!$A$2:$A$40,0))</f>
        <v>0</v>
      </c>
      <c r="J402" s="64" t="n">
        <v>2</v>
      </c>
    </row>
    <row r="403" customFormat="false" ht="15" hidden="false" customHeight="false" outlineLevel="0" collapsed="false">
      <c r="A403" s="70" t="n">
        <v>46305</v>
      </c>
      <c r="B403" s="64" t="s">
        <v>10</v>
      </c>
      <c r="C403" s="64" t="s">
        <v>11</v>
      </c>
      <c r="D403" s="64" t="s">
        <v>7</v>
      </c>
      <c r="E403" s="64" t="s">
        <v>20</v>
      </c>
      <c r="F403" s="71" t="n">
        <f aca="false">Menu!E225</f>
        <v>80</v>
      </c>
      <c r="G403" s="64" t="s">
        <v>15</v>
      </c>
      <c r="H403" s="66" t="n">
        <f aca="false">F403/INDEX(Valeurs!$B$2:$B$40,MATCH(E403,Valeurs!$A$2:$A$40,0))*INDEX(Valeurs!$D$2:$D$40,MATCH(E403,Valeurs!$A$2:$A$40,0))</f>
        <v>14.4</v>
      </c>
      <c r="I403" s="72" t="n">
        <f aca="false">F403/INDEX(Valeurs!$B$2:$B$40,MATCH(E403,Valeurs!$A$2:$A$40,0))*INDEX(Valeurs!$E$2:$E$40,MATCH(E403,Valeurs!$A$2:$A$40,0))</f>
        <v>0.72</v>
      </c>
      <c r="J403" s="64" t="n">
        <v>2</v>
      </c>
    </row>
    <row r="404" customFormat="false" ht="15" hidden="false" customHeight="false" outlineLevel="0" collapsed="false">
      <c r="A404" s="70" t="n">
        <v>46305</v>
      </c>
      <c r="B404" s="64" t="s">
        <v>10</v>
      </c>
      <c r="C404" s="64" t="s">
        <v>11</v>
      </c>
      <c r="D404" s="64" t="s">
        <v>6</v>
      </c>
      <c r="E404" s="64" t="s">
        <v>21</v>
      </c>
      <c r="F404" s="71" t="n">
        <f aca="false">Menu!D226</f>
        <v>0</v>
      </c>
      <c r="G404" s="64" t="s">
        <v>15</v>
      </c>
      <c r="H404" s="66" t="n">
        <f aca="false">F404/INDEX(Valeurs!$B$2:$B$40,MATCH(E404,Valeurs!$A$2:$A$40,0))*INDEX(Valeurs!$D$2:$D$40,MATCH(E404,Valeurs!$A$2:$A$40,0))</f>
        <v>0</v>
      </c>
      <c r="I404" s="72" t="n">
        <f aca="false">F404/INDEX(Valeurs!$B$2:$B$40,MATCH(E404,Valeurs!$A$2:$A$40,0))*INDEX(Valeurs!$E$2:$E$40,MATCH(E404,Valeurs!$A$2:$A$40,0))</f>
        <v>0</v>
      </c>
      <c r="J404" s="64" t="n">
        <v>2</v>
      </c>
    </row>
    <row r="405" customFormat="false" ht="15" hidden="false" customHeight="false" outlineLevel="0" collapsed="false">
      <c r="A405" s="70" t="n">
        <v>46305</v>
      </c>
      <c r="B405" s="64" t="s">
        <v>10</v>
      </c>
      <c r="C405" s="64" t="s">
        <v>11</v>
      </c>
      <c r="D405" s="64" t="s">
        <v>7</v>
      </c>
      <c r="E405" s="64" t="s">
        <v>21</v>
      </c>
      <c r="F405" s="71" t="n">
        <f aca="false">Menu!E226</f>
        <v>40</v>
      </c>
      <c r="G405" s="64" t="s">
        <v>15</v>
      </c>
      <c r="H405" s="66" t="n">
        <f aca="false">F405/INDEX(Valeurs!$B$2:$B$40,MATCH(E405,Valeurs!$A$2:$A$40,0))*INDEX(Valeurs!$D$2:$D$40,MATCH(E405,Valeurs!$A$2:$A$40,0))</f>
        <v>96</v>
      </c>
      <c r="I405" s="72" t="n">
        <f aca="false">F405/INDEX(Valeurs!$B$2:$B$40,MATCH(E405,Valeurs!$A$2:$A$40,0))*INDEX(Valeurs!$E$2:$E$40,MATCH(E405,Valeurs!$A$2:$A$40,0))</f>
        <v>3.6</v>
      </c>
      <c r="J405" s="64" t="n">
        <v>2</v>
      </c>
    </row>
    <row r="406" customFormat="false" ht="15" hidden="false" customHeight="false" outlineLevel="0" collapsed="false">
      <c r="A406" s="70" t="n">
        <v>46305</v>
      </c>
      <c r="B406" s="64" t="s">
        <v>10</v>
      </c>
      <c r="C406" s="64" t="s">
        <v>11</v>
      </c>
      <c r="D406" s="64" t="s">
        <v>6</v>
      </c>
      <c r="E406" s="64" t="s">
        <v>22</v>
      </c>
      <c r="F406" s="71" t="n">
        <f aca="false">Menu!D227</f>
        <v>0</v>
      </c>
      <c r="G406" s="64" t="s">
        <v>15</v>
      </c>
      <c r="H406" s="66" t="n">
        <f aca="false">F406/INDEX(Valeurs!$B$2:$B$40,MATCH(E406,Valeurs!$A$2:$A$40,0))*INDEX(Valeurs!$D$2:$D$40,MATCH(E406,Valeurs!$A$2:$A$40,0))</f>
        <v>0</v>
      </c>
      <c r="I406" s="72" t="n">
        <f aca="false">F406/INDEX(Valeurs!$B$2:$B$40,MATCH(E406,Valeurs!$A$2:$A$40,0))*INDEX(Valeurs!$E$2:$E$40,MATCH(E406,Valeurs!$A$2:$A$40,0))</f>
        <v>0</v>
      </c>
      <c r="J406" s="64" t="n">
        <v>2</v>
      </c>
    </row>
    <row r="407" customFormat="false" ht="15" hidden="false" customHeight="false" outlineLevel="0" collapsed="false">
      <c r="A407" s="70" t="n">
        <v>46305</v>
      </c>
      <c r="B407" s="64" t="s">
        <v>10</v>
      </c>
      <c r="C407" s="64" t="s">
        <v>11</v>
      </c>
      <c r="D407" s="64" t="s">
        <v>7</v>
      </c>
      <c r="E407" s="64" t="s">
        <v>22</v>
      </c>
      <c r="F407" s="71" t="n">
        <f aca="false">Menu!E227</f>
        <v>150</v>
      </c>
      <c r="G407" s="64" t="s">
        <v>15</v>
      </c>
      <c r="H407" s="66" t="n">
        <f aca="false">F407/INDEX(Valeurs!$B$2:$B$40,MATCH(E407,Valeurs!$A$2:$A$40,0))*INDEX(Valeurs!$D$2:$D$40,MATCH(E407,Valeurs!$A$2:$A$40,0))</f>
        <v>78</v>
      </c>
      <c r="I407" s="72" t="n">
        <f aca="false">F407/INDEX(Valeurs!$B$2:$B$40,MATCH(E407,Valeurs!$A$2:$A$40,0))*INDEX(Valeurs!$E$2:$E$40,MATCH(E407,Valeurs!$A$2:$A$40,0))</f>
        <v>0.45</v>
      </c>
      <c r="J407" s="64" t="n">
        <v>2</v>
      </c>
    </row>
    <row r="408" customFormat="false" ht="15" hidden="false" customHeight="false" outlineLevel="0" collapsed="false">
      <c r="A408" s="70" t="n">
        <v>46305</v>
      </c>
      <c r="B408" s="64" t="s">
        <v>23</v>
      </c>
      <c r="C408" s="64" t="s">
        <v>83</v>
      </c>
      <c r="D408" s="64" t="s">
        <v>6</v>
      </c>
      <c r="E408" s="64" t="s">
        <v>51</v>
      </c>
      <c r="F408" s="71" t="n">
        <f aca="false">Menu!D228</f>
        <v>110</v>
      </c>
      <c r="G408" s="64" t="s">
        <v>15</v>
      </c>
      <c r="H408" s="66" t="n">
        <f aca="false">F408/INDEX(Valeurs!$B$2:$B$40,MATCH(E408,Valeurs!$A$2:$A$40,0))*INDEX(Valeurs!$D$2:$D$40,MATCH(E408,Valeurs!$A$2:$A$40,0))</f>
        <v>154</v>
      </c>
      <c r="I408" s="72" t="n">
        <f aca="false">F408/INDEX(Valeurs!$B$2:$B$40,MATCH(E408,Valeurs!$A$2:$A$40,0))*INDEX(Valeurs!$E$2:$E$40,MATCH(E408,Valeurs!$A$2:$A$40,0))</f>
        <v>23.1</v>
      </c>
      <c r="J408" s="64" t="n">
        <v>2</v>
      </c>
    </row>
    <row r="409" customFormat="false" ht="15" hidden="false" customHeight="false" outlineLevel="0" collapsed="false">
      <c r="A409" s="70" t="n">
        <v>46305</v>
      </c>
      <c r="B409" s="64" t="s">
        <v>23</v>
      </c>
      <c r="C409" s="64" t="s">
        <v>83</v>
      </c>
      <c r="D409" s="64" t="s">
        <v>7</v>
      </c>
      <c r="E409" s="64" t="s">
        <v>51</v>
      </c>
      <c r="F409" s="71" t="n">
        <f aca="false">Menu!E228</f>
        <v>85</v>
      </c>
      <c r="G409" s="64" t="s">
        <v>15</v>
      </c>
      <c r="H409" s="66" t="n">
        <f aca="false">F409/INDEX(Valeurs!$B$2:$B$40,MATCH(E409,Valeurs!$A$2:$A$40,0))*INDEX(Valeurs!$D$2:$D$40,MATCH(E409,Valeurs!$A$2:$A$40,0))</f>
        <v>119</v>
      </c>
      <c r="I409" s="72" t="n">
        <f aca="false">F409/INDEX(Valeurs!$B$2:$B$40,MATCH(E409,Valeurs!$A$2:$A$40,0))*INDEX(Valeurs!$E$2:$E$40,MATCH(E409,Valeurs!$A$2:$A$40,0))</f>
        <v>17.85</v>
      </c>
      <c r="J409" s="64" t="n">
        <v>2</v>
      </c>
    </row>
    <row r="410" customFormat="false" ht="15" hidden="false" customHeight="false" outlineLevel="0" collapsed="false">
      <c r="A410" s="70" t="n">
        <v>46305</v>
      </c>
      <c r="B410" s="64" t="s">
        <v>23</v>
      </c>
      <c r="C410" s="64" t="s">
        <v>83</v>
      </c>
      <c r="D410" s="64" t="s">
        <v>6</v>
      </c>
      <c r="E410" s="64" t="s">
        <v>84</v>
      </c>
      <c r="F410" s="71" t="n">
        <f aca="false">Menu!D229</f>
        <v>65</v>
      </c>
      <c r="G410" s="64" t="s">
        <v>15</v>
      </c>
      <c r="H410" s="66" t="n">
        <f aca="false">F410/INDEX(Valeurs!$B$2:$B$40,MATCH(E410,Valeurs!$A$2:$A$40,0))*INDEX(Valeurs!$D$2:$D$40,MATCH(E410,Valeurs!$A$2:$A$40,0))</f>
        <v>230.75</v>
      </c>
      <c r="I410" s="72" t="n">
        <f aca="false">F410/INDEX(Valeurs!$B$2:$B$40,MATCH(E410,Valeurs!$A$2:$A$40,0))*INDEX(Valeurs!$E$2:$E$40,MATCH(E410,Valeurs!$A$2:$A$40,0))</f>
        <v>8.125</v>
      </c>
      <c r="J410" s="64" t="n">
        <v>2</v>
      </c>
    </row>
    <row r="411" customFormat="false" ht="15" hidden="false" customHeight="false" outlineLevel="0" collapsed="false">
      <c r="A411" s="70" t="n">
        <v>46305</v>
      </c>
      <c r="B411" s="64" t="s">
        <v>23</v>
      </c>
      <c r="C411" s="64" t="s">
        <v>83</v>
      </c>
      <c r="D411" s="64" t="s">
        <v>7</v>
      </c>
      <c r="E411" s="64" t="s">
        <v>84</v>
      </c>
      <c r="F411" s="71" t="n">
        <f aca="false">Menu!E229</f>
        <v>45</v>
      </c>
      <c r="G411" s="64" t="s">
        <v>15</v>
      </c>
      <c r="H411" s="66" t="n">
        <f aca="false">F411/INDEX(Valeurs!$B$2:$B$40,MATCH(E411,Valeurs!$A$2:$A$40,0))*INDEX(Valeurs!$D$2:$D$40,MATCH(E411,Valeurs!$A$2:$A$40,0))</f>
        <v>159.75</v>
      </c>
      <c r="I411" s="72" t="n">
        <f aca="false">F411/INDEX(Valeurs!$B$2:$B$40,MATCH(E411,Valeurs!$A$2:$A$40,0))*INDEX(Valeurs!$E$2:$E$40,MATCH(E411,Valeurs!$A$2:$A$40,0))</f>
        <v>5.625</v>
      </c>
      <c r="J411" s="64" t="n">
        <v>2</v>
      </c>
    </row>
    <row r="412" customFormat="false" ht="15" hidden="false" customHeight="false" outlineLevel="0" collapsed="false">
      <c r="A412" s="70" t="n">
        <v>46305</v>
      </c>
      <c r="B412" s="64" t="s">
        <v>23</v>
      </c>
      <c r="C412" s="64" t="s">
        <v>83</v>
      </c>
      <c r="D412" s="64" t="s">
        <v>6</v>
      </c>
      <c r="E412" s="64" t="s">
        <v>33</v>
      </c>
      <c r="F412" s="71" t="n">
        <f aca="false">Menu!D230</f>
        <v>100</v>
      </c>
      <c r="G412" s="64" t="s">
        <v>15</v>
      </c>
      <c r="H412" s="66" t="n">
        <f aca="false">F412/INDEX(Valeurs!$B$2:$B$40,MATCH(E412,Valeurs!$A$2:$A$40,0))*INDEX(Valeurs!$D$2:$D$40,MATCH(E412,Valeurs!$A$2:$A$40,0))</f>
        <v>17</v>
      </c>
      <c r="I412" s="72" t="n">
        <f aca="false">F412/INDEX(Valeurs!$B$2:$B$40,MATCH(E412,Valeurs!$A$2:$A$40,0))*INDEX(Valeurs!$E$2:$E$40,MATCH(E412,Valeurs!$A$2:$A$40,0))</f>
        <v>1.2</v>
      </c>
      <c r="J412" s="64" t="n">
        <v>2</v>
      </c>
    </row>
    <row r="413" customFormat="false" ht="15" hidden="false" customHeight="false" outlineLevel="0" collapsed="false">
      <c r="A413" s="70" t="n">
        <v>46305</v>
      </c>
      <c r="B413" s="64" t="s">
        <v>23</v>
      </c>
      <c r="C413" s="64" t="s">
        <v>83</v>
      </c>
      <c r="D413" s="64" t="s">
        <v>7</v>
      </c>
      <c r="E413" s="64" t="s">
        <v>33</v>
      </c>
      <c r="F413" s="71" t="n">
        <f aca="false">Menu!E230</f>
        <v>120</v>
      </c>
      <c r="G413" s="64" t="s">
        <v>15</v>
      </c>
      <c r="H413" s="66" t="n">
        <f aca="false">F413/INDEX(Valeurs!$B$2:$B$40,MATCH(E413,Valeurs!$A$2:$A$40,0))*INDEX(Valeurs!$D$2:$D$40,MATCH(E413,Valeurs!$A$2:$A$40,0))</f>
        <v>20.4</v>
      </c>
      <c r="I413" s="72" t="n">
        <f aca="false">F413/INDEX(Valeurs!$B$2:$B$40,MATCH(E413,Valeurs!$A$2:$A$40,0))*INDEX(Valeurs!$E$2:$E$40,MATCH(E413,Valeurs!$A$2:$A$40,0))</f>
        <v>1.44</v>
      </c>
      <c r="J413" s="64" t="n">
        <v>2</v>
      </c>
    </row>
    <row r="414" customFormat="false" ht="15" hidden="false" customHeight="false" outlineLevel="0" collapsed="false">
      <c r="A414" s="70" t="n">
        <v>46305</v>
      </c>
      <c r="B414" s="64" t="s">
        <v>23</v>
      </c>
      <c r="C414" s="64" t="s">
        <v>83</v>
      </c>
      <c r="D414" s="64" t="s">
        <v>6</v>
      </c>
      <c r="E414" s="64" t="s">
        <v>20</v>
      </c>
      <c r="F414" s="71" t="n">
        <f aca="false">Menu!D231</f>
        <v>150</v>
      </c>
      <c r="G414" s="64" t="s">
        <v>15</v>
      </c>
      <c r="H414" s="66" t="n">
        <f aca="false">F414/INDEX(Valeurs!$B$2:$B$40,MATCH(E414,Valeurs!$A$2:$A$40,0))*INDEX(Valeurs!$D$2:$D$40,MATCH(E414,Valeurs!$A$2:$A$40,0))</f>
        <v>27</v>
      </c>
      <c r="I414" s="72" t="n">
        <f aca="false">F414/INDEX(Valeurs!$B$2:$B$40,MATCH(E414,Valeurs!$A$2:$A$40,0))*INDEX(Valeurs!$E$2:$E$40,MATCH(E414,Valeurs!$A$2:$A$40,0))</f>
        <v>1.35</v>
      </c>
      <c r="J414" s="64" t="n">
        <v>2</v>
      </c>
    </row>
    <row r="415" customFormat="false" ht="15" hidden="false" customHeight="false" outlineLevel="0" collapsed="false">
      <c r="A415" s="70" t="n">
        <v>46305</v>
      </c>
      <c r="B415" s="64" t="s">
        <v>23</v>
      </c>
      <c r="C415" s="64" t="s">
        <v>83</v>
      </c>
      <c r="D415" s="64" t="s">
        <v>7</v>
      </c>
      <c r="E415" s="64" t="s">
        <v>20</v>
      </c>
      <c r="F415" s="71" t="n">
        <f aca="false">Menu!E231</f>
        <v>150</v>
      </c>
      <c r="G415" s="64" t="s">
        <v>15</v>
      </c>
      <c r="H415" s="66" t="n">
        <f aca="false">F415/INDEX(Valeurs!$B$2:$B$40,MATCH(E415,Valeurs!$A$2:$A$40,0))*INDEX(Valeurs!$D$2:$D$40,MATCH(E415,Valeurs!$A$2:$A$40,0))</f>
        <v>27</v>
      </c>
      <c r="I415" s="72" t="n">
        <f aca="false">F415/INDEX(Valeurs!$B$2:$B$40,MATCH(E415,Valeurs!$A$2:$A$40,0))*INDEX(Valeurs!$E$2:$E$40,MATCH(E415,Valeurs!$A$2:$A$40,0))</f>
        <v>1.35</v>
      </c>
      <c r="J415" s="64" t="n">
        <v>2</v>
      </c>
    </row>
    <row r="416" customFormat="false" ht="15" hidden="false" customHeight="false" outlineLevel="0" collapsed="false">
      <c r="A416" s="70" t="n">
        <v>46305</v>
      </c>
      <c r="B416" s="64" t="s">
        <v>23</v>
      </c>
      <c r="C416" s="64" t="s">
        <v>83</v>
      </c>
      <c r="D416" s="64" t="s">
        <v>6</v>
      </c>
      <c r="E416" s="64" t="s">
        <v>35</v>
      </c>
      <c r="F416" s="71" t="n">
        <f aca="false">Menu!D232</f>
        <v>20</v>
      </c>
      <c r="G416" s="64" t="s">
        <v>15</v>
      </c>
      <c r="H416" s="66" t="n">
        <f aca="false">F416/INDEX(Valeurs!$B$2:$B$40,MATCH(E416,Valeurs!$A$2:$A$40,0))*INDEX(Valeurs!$D$2:$D$40,MATCH(E416,Valeurs!$A$2:$A$40,0))</f>
        <v>8</v>
      </c>
      <c r="I416" s="72" t="n">
        <f aca="false">F416/INDEX(Valeurs!$B$2:$B$40,MATCH(E416,Valeurs!$A$2:$A$40,0))*INDEX(Valeurs!$E$2:$E$40,MATCH(E416,Valeurs!$A$2:$A$40,0))</f>
        <v>0.22</v>
      </c>
      <c r="J416" s="64" t="n">
        <v>2</v>
      </c>
    </row>
    <row r="417" customFormat="false" ht="15" hidden="false" customHeight="false" outlineLevel="0" collapsed="false">
      <c r="A417" s="70" t="n">
        <v>46305</v>
      </c>
      <c r="B417" s="64" t="s">
        <v>23</v>
      </c>
      <c r="C417" s="64" t="s">
        <v>83</v>
      </c>
      <c r="D417" s="64" t="s">
        <v>7</v>
      </c>
      <c r="E417" s="64" t="s">
        <v>35</v>
      </c>
      <c r="F417" s="71" t="n">
        <f aca="false">Menu!E232</f>
        <v>20</v>
      </c>
      <c r="G417" s="64" t="s">
        <v>15</v>
      </c>
      <c r="H417" s="66" t="n">
        <f aca="false">F417/INDEX(Valeurs!$B$2:$B$40,MATCH(E417,Valeurs!$A$2:$A$40,0))*INDEX(Valeurs!$D$2:$D$40,MATCH(E417,Valeurs!$A$2:$A$40,0))</f>
        <v>8</v>
      </c>
      <c r="I417" s="72" t="n">
        <f aca="false">F417/INDEX(Valeurs!$B$2:$B$40,MATCH(E417,Valeurs!$A$2:$A$40,0))*INDEX(Valeurs!$E$2:$E$40,MATCH(E417,Valeurs!$A$2:$A$40,0))</f>
        <v>0.22</v>
      </c>
      <c r="J417" s="64" t="n">
        <v>2</v>
      </c>
    </row>
    <row r="418" customFormat="false" ht="15" hidden="false" customHeight="false" outlineLevel="0" collapsed="false">
      <c r="A418" s="70" t="n">
        <v>46305</v>
      </c>
      <c r="B418" s="64" t="s">
        <v>23</v>
      </c>
      <c r="C418" s="64" t="s">
        <v>83</v>
      </c>
      <c r="D418" s="64" t="s">
        <v>6</v>
      </c>
      <c r="E418" s="64" t="s">
        <v>85</v>
      </c>
      <c r="F418" s="71" t="n">
        <f aca="false">Menu!D233</f>
        <v>30</v>
      </c>
      <c r="G418" s="64" t="s">
        <v>15</v>
      </c>
      <c r="H418" s="66" t="n">
        <f aca="false">F418/INDEX(Valeurs!$B$2:$B$40,MATCH(E418,Valeurs!$A$2:$A$40,0))*INDEX(Valeurs!$D$2:$D$40,MATCH(E418,Valeurs!$A$2:$A$40,0))</f>
        <v>84</v>
      </c>
      <c r="I418" s="72" t="n">
        <f aca="false">F418/INDEX(Valeurs!$B$2:$B$40,MATCH(E418,Valeurs!$A$2:$A$40,0))*INDEX(Valeurs!$E$2:$E$40,MATCH(E418,Valeurs!$A$2:$A$40,0))</f>
        <v>6.3</v>
      </c>
      <c r="J418" s="64" t="n">
        <v>2</v>
      </c>
    </row>
    <row r="419" customFormat="false" ht="15" hidden="false" customHeight="false" outlineLevel="0" collapsed="false">
      <c r="A419" s="70" t="n">
        <v>46305</v>
      </c>
      <c r="B419" s="64" t="s">
        <v>23</v>
      </c>
      <c r="C419" s="64" t="s">
        <v>83</v>
      </c>
      <c r="D419" s="64" t="s">
        <v>7</v>
      </c>
      <c r="E419" s="64" t="s">
        <v>85</v>
      </c>
      <c r="F419" s="71" t="n">
        <f aca="false">Menu!E233</f>
        <v>25</v>
      </c>
      <c r="G419" s="64" t="s">
        <v>15</v>
      </c>
      <c r="H419" s="66" t="n">
        <f aca="false">F419/INDEX(Valeurs!$B$2:$B$40,MATCH(E419,Valeurs!$A$2:$A$40,0))*INDEX(Valeurs!$D$2:$D$40,MATCH(E419,Valeurs!$A$2:$A$40,0))</f>
        <v>70</v>
      </c>
      <c r="I419" s="72" t="n">
        <f aca="false">F419/INDEX(Valeurs!$B$2:$B$40,MATCH(E419,Valeurs!$A$2:$A$40,0))*INDEX(Valeurs!$E$2:$E$40,MATCH(E419,Valeurs!$A$2:$A$40,0))</f>
        <v>5.25</v>
      </c>
      <c r="J419" s="64" t="n">
        <v>2</v>
      </c>
    </row>
    <row r="420" customFormat="false" ht="15" hidden="false" customHeight="false" outlineLevel="0" collapsed="false">
      <c r="A420" s="70" t="n">
        <v>46305</v>
      </c>
      <c r="B420" s="64" t="s">
        <v>23</v>
      </c>
      <c r="C420" s="64" t="s">
        <v>83</v>
      </c>
      <c r="D420" s="64" t="s">
        <v>6</v>
      </c>
      <c r="E420" s="64" t="s">
        <v>12</v>
      </c>
      <c r="F420" s="71" t="n">
        <f aca="false">Menu!D234</f>
        <v>80</v>
      </c>
      <c r="G420" s="64" t="s">
        <v>13</v>
      </c>
      <c r="H420" s="66" t="n">
        <f aca="false">F420/INDEX(Valeurs!$B$2:$B$40,MATCH(E420,Valeurs!$A$2:$A$40,0))*INDEX(Valeurs!$D$2:$D$40,MATCH(E420,Valeurs!$A$2:$A$40,0))</f>
        <v>36.8</v>
      </c>
      <c r="I420" s="72" t="n">
        <f aca="false">F420/INDEX(Valeurs!$B$2:$B$40,MATCH(E420,Valeurs!$A$2:$A$40,0))*INDEX(Valeurs!$E$2:$E$40,MATCH(E420,Valeurs!$A$2:$A$40,0))</f>
        <v>2.64</v>
      </c>
      <c r="J420" s="64" t="n">
        <v>2</v>
      </c>
    </row>
    <row r="421" customFormat="false" ht="15" hidden="false" customHeight="false" outlineLevel="0" collapsed="false">
      <c r="A421" s="70" t="n">
        <v>46305</v>
      </c>
      <c r="B421" s="64" t="s">
        <v>23</v>
      </c>
      <c r="C421" s="64" t="s">
        <v>83</v>
      </c>
      <c r="D421" s="64" t="s">
        <v>7</v>
      </c>
      <c r="E421" s="64" t="s">
        <v>12</v>
      </c>
      <c r="F421" s="71" t="n">
        <f aca="false">Menu!E234</f>
        <v>60</v>
      </c>
      <c r="G421" s="64" t="s">
        <v>13</v>
      </c>
      <c r="H421" s="66" t="n">
        <f aca="false">F421/INDEX(Valeurs!$B$2:$B$40,MATCH(E421,Valeurs!$A$2:$A$40,0))*INDEX(Valeurs!$D$2:$D$40,MATCH(E421,Valeurs!$A$2:$A$40,0))</f>
        <v>27.6</v>
      </c>
      <c r="I421" s="72" t="n">
        <f aca="false">F421/INDEX(Valeurs!$B$2:$B$40,MATCH(E421,Valeurs!$A$2:$A$40,0))*INDEX(Valeurs!$E$2:$E$40,MATCH(E421,Valeurs!$A$2:$A$40,0))</f>
        <v>1.98</v>
      </c>
      <c r="J421" s="64" t="n">
        <v>2</v>
      </c>
    </row>
    <row r="422" customFormat="false" ht="15" hidden="false" customHeight="false" outlineLevel="0" collapsed="false">
      <c r="A422" s="70" t="n">
        <v>46305</v>
      </c>
      <c r="B422" s="64" t="s">
        <v>23</v>
      </c>
      <c r="C422" s="64" t="s">
        <v>83</v>
      </c>
      <c r="D422" s="64" t="s">
        <v>6</v>
      </c>
      <c r="E422" s="64" t="s">
        <v>81</v>
      </c>
      <c r="F422" s="71" t="n">
        <f aca="false">Menu!D235</f>
        <v>8</v>
      </c>
      <c r="G422" s="64" t="s">
        <v>15</v>
      </c>
      <c r="H422" s="66" t="n">
        <f aca="false">F422/INDEX(Valeurs!$B$2:$B$40,MATCH(E422,Valeurs!$A$2:$A$40,0))*INDEX(Valeurs!$D$2:$D$40,MATCH(E422,Valeurs!$A$2:$A$40,0))</f>
        <v>28</v>
      </c>
      <c r="I422" s="72" t="n">
        <f aca="false">F422/INDEX(Valeurs!$B$2:$B$40,MATCH(E422,Valeurs!$A$2:$A$40,0))*INDEX(Valeurs!$E$2:$E$40,MATCH(E422,Valeurs!$A$2:$A$40,0))</f>
        <v>0.8</v>
      </c>
      <c r="J422" s="64" t="n">
        <v>2</v>
      </c>
    </row>
    <row r="423" customFormat="false" ht="15" hidden="false" customHeight="false" outlineLevel="0" collapsed="false">
      <c r="A423" s="70" t="n">
        <v>46305</v>
      </c>
      <c r="B423" s="64" t="s">
        <v>23</v>
      </c>
      <c r="C423" s="64" t="s">
        <v>83</v>
      </c>
      <c r="D423" s="64" t="s">
        <v>7</v>
      </c>
      <c r="E423" s="64" t="s">
        <v>81</v>
      </c>
      <c r="F423" s="71" t="n">
        <f aca="false">Menu!E235</f>
        <v>6</v>
      </c>
      <c r="G423" s="64" t="s">
        <v>15</v>
      </c>
      <c r="H423" s="66" t="n">
        <f aca="false">F423/INDEX(Valeurs!$B$2:$B$40,MATCH(E423,Valeurs!$A$2:$A$40,0))*INDEX(Valeurs!$D$2:$D$40,MATCH(E423,Valeurs!$A$2:$A$40,0))</f>
        <v>21</v>
      </c>
      <c r="I423" s="72" t="n">
        <f aca="false">F423/INDEX(Valeurs!$B$2:$B$40,MATCH(E423,Valeurs!$A$2:$A$40,0))*INDEX(Valeurs!$E$2:$E$40,MATCH(E423,Valeurs!$A$2:$A$40,0))</f>
        <v>0.6</v>
      </c>
      <c r="J423" s="64" t="n">
        <v>2</v>
      </c>
    </row>
    <row r="424" customFormat="false" ht="15" hidden="false" customHeight="false" outlineLevel="0" collapsed="false">
      <c r="A424" s="70" t="n">
        <v>46305</v>
      </c>
      <c r="B424" s="64" t="s">
        <v>23</v>
      </c>
      <c r="C424" s="64" t="s">
        <v>83</v>
      </c>
      <c r="D424" s="64" t="s">
        <v>6</v>
      </c>
      <c r="E424" s="64" t="s">
        <v>28</v>
      </c>
      <c r="F424" s="71" t="n">
        <f aca="false">Menu!D236</f>
        <v>8</v>
      </c>
      <c r="G424" s="64" t="s">
        <v>15</v>
      </c>
      <c r="H424" s="66" t="n">
        <f aca="false">F424/INDEX(Valeurs!$B$2:$B$40,MATCH(E424,Valeurs!$A$2:$A$40,0))*INDEX(Valeurs!$D$2:$D$40,MATCH(E424,Valeurs!$A$2:$A$40,0))</f>
        <v>72</v>
      </c>
      <c r="I424" s="72" t="n">
        <f aca="false">F424/INDEX(Valeurs!$B$2:$B$40,MATCH(E424,Valeurs!$A$2:$A$40,0))*INDEX(Valeurs!$E$2:$E$40,MATCH(E424,Valeurs!$A$2:$A$40,0))</f>
        <v>0</v>
      </c>
      <c r="J424" s="64" t="n">
        <v>2</v>
      </c>
    </row>
    <row r="425" customFormat="false" ht="15" hidden="false" customHeight="false" outlineLevel="0" collapsed="false">
      <c r="A425" s="70" t="n">
        <v>46305</v>
      </c>
      <c r="B425" s="64" t="s">
        <v>23</v>
      </c>
      <c r="C425" s="64" t="s">
        <v>83</v>
      </c>
      <c r="D425" s="64" t="s">
        <v>7</v>
      </c>
      <c r="E425" s="64" t="s">
        <v>28</v>
      </c>
      <c r="F425" s="71" t="n">
        <f aca="false">Menu!E236</f>
        <v>6</v>
      </c>
      <c r="G425" s="64" t="s">
        <v>15</v>
      </c>
      <c r="H425" s="66" t="n">
        <f aca="false">F425/INDEX(Valeurs!$B$2:$B$40,MATCH(E425,Valeurs!$A$2:$A$40,0))*INDEX(Valeurs!$D$2:$D$40,MATCH(E425,Valeurs!$A$2:$A$40,0))</f>
        <v>54</v>
      </c>
      <c r="I425" s="72" t="n">
        <f aca="false">F425/INDEX(Valeurs!$B$2:$B$40,MATCH(E425,Valeurs!$A$2:$A$40,0))*INDEX(Valeurs!$E$2:$E$40,MATCH(E425,Valeurs!$A$2:$A$40,0))</f>
        <v>0</v>
      </c>
      <c r="J425" s="64" t="n">
        <v>2</v>
      </c>
    </row>
    <row r="426" customFormat="false" ht="15" hidden="false" customHeight="false" outlineLevel="0" collapsed="false">
      <c r="A426" s="70" t="n">
        <v>46305</v>
      </c>
      <c r="B426" s="64" t="s">
        <v>23</v>
      </c>
      <c r="C426" s="64" t="s">
        <v>83</v>
      </c>
      <c r="D426" s="64" t="s">
        <v>6</v>
      </c>
      <c r="E426" s="64" t="s">
        <v>46</v>
      </c>
      <c r="F426" s="71" t="n">
        <f aca="false">Menu!D237</f>
        <v>40</v>
      </c>
      <c r="G426" s="64" t="s">
        <v>15</v>
      </c>
      <c r="H426" s="66" t="n">
        <f aca="false">F426/INDEX(Valeurs!$B$2:$B$40,MATCH(E426,Valeurs!$A$2:$A$40,0))*INDEX(Valeurs!$D$2:$D$40,MATCH(E426,Valeurs!$A$2:$A$40,0))</f>
        <v>6</v>
      </c>
      <c r="I426" s="72" t="n">
        <f aca="false">F426/INDEX(Valeurs!$B$2:$B$40,MATCH(E426,Valeurs!$A$2:$A$40,0))*INDEX(Valeurs!$E$2:$E$40,MATCH(E426,Valeurs!$A$2:$A$40,0))</f>
        <v>0.56</v>
      </c>
      <c r="J426" s="64" t="n">
        <v>2</v>
      </c>
    </row>
    <row r="427" customFormat="false" ht="15" hidden="false" customHeight="false" outlineLevel="0" collapsed="false">
      <c r="A427" s="70" t="n">
        <v>46305</v>
      </c>
      <c r="B427" s="64" t="s">
        <v>23</v>
      </c>
      <c r="C427" s="64" t="s">
        <v>83</v>
      </c>
      <c r="D427" s="64" t="s">
        <v>7</v>
      </c>
      <c r="E427" s="64" t="s">
        <v>46</v>
      </c>
      <c r="F427" s="71" t="n">
        <f aca="false">Menu!E237</f>
        <v>60</v>
      </c>
      <c r="G427" s="64" t="s">
        <v>15</v>
      </c>
      <c r="H427" s="66" t="n">
        <f aca="false">F427/INDEX(Valeurs!$B$2:$B$40,MATCH(E427,Valeurs!$A$2:$A$40,0))*INDEX(Valeurs!$D$2:$D$40,MATCH(E427,Valeurs!$A$2:$A$40,0))</f>
        <v>9</v>
      </c>
      <c r="I427" s="72" t="n">
        <f aca="false">F427/INDEX(Valeurs!$B$2:$B$40,MATCH(E427,Valeurs!$A$2:$A$40,0))*INDEX(Valeurs!$E$2:$E$40,MATCH(E427,Valeurs!$A$2:$A$40,0))</f>
        <v>0.84</v>
      </c>
      <c r="J427" s="64" t="n">
        <v>2</v>
      </c>
    </row>
    <row r="428" customFormat="false" ht="15" hidden="false" customHeight="false" outlineLevel="0" collapsed="false">
      <c r="A428" s="70" t="n">
        <v>46305</v>
      </c>
      <c r="B428" s="64" t="s">
        <v>29</v>
      </c>
      <c r="C428" s="64" t="s">
        <v>86</v>
      </c>
      <c r="D428" s="64" t="s">
        <v>6</v>
      </c>
      <c r="E428" s="64" t="s">
        <v>42</v>
      </c>
      <c r="F428" s="71" t="n">
        <f aca="false">Menu!D238</f>
        <v>150</v>
      </c>
      <c r="G428" s="64" t="s">
        <v>15</v>
      </c>
      <c r="H428" s="66" t="n">
        <f aca="false">F428/INDEX(Valeurs!$B$2:$B$40,MATCH(E428,Valeurs!$A$2:$A$40,0))*INDEX(Valeurs!$D$2:$D$40,MATCH(E428,Valeurs!$A$2:$A$40,0))</f>
        <v>150</v>
      </c>
      <c r="I428" s="72" t="n">
        <f aca="false">F428/INDEX(Valeurs!$B$2:$B$40,MATCH(E428,Valeurs!$A$2:$A$40,0))*INDEX(Valeurs!$E$2:$E$40,MATCH(E428,Valeurs!$A$2:$A$40,0))</f>
        <v>11.25</v>
      </c>
      <c r="J428" s="64" t="n">
        <v>2</v>
      </c>
    </row>
    <row r="429" customFormat="false" ht="15" hidden="false" customHeight="false" outlineLevel="0" collapsed="false">
      <c r="A429" s="70" t="n">
        <v>46305</v>
      </c>
      <c r="B429" s="64" t="s">
        <v>29</v>
      </c>
      <c r="C429" s="64" t="s">
        <v>86</v>
      </c>
      <c r="D429" s="64" t="s">
        <v>7</v>
      </c>
      <c r="E429" s="64" t="s">
        <v>42</v>
      </c>
      <c r="F429" s="71" t="n">
        <f aca="false">Menu!E238</f>
        <v>120</v>
      </c>
      <c r="G429" s="64" t="s">
        <v>15</v>
      </c>
      <c r="H429" s="66" t="n">
        <f aca="false">F429/INDEX(Valeurs!$B$2:$B$40,MATCH(E429,Valeurs!$A$2:$A$40,0))*INDEX(Valeurs!$D$2:$D$40,MATCH(E429,Valeurs!$A$2:$A$40,0))</f>
        <v>120</v>
      </c>
      <c r="I429" s="72" t="n">
        <f aca="false">F429/INDEX(Valeurs!$B$2:$B$40,MATCH(E429,Valeurs!$A$2:$A$40,0))*INDEX(Valeurs!$E$2:$E$40,MATCH(E429,Valeurs!$A$2:$A$40,0))</f>
        <v>9</v>
      </c>
      <c r="J429" s="64" t="n">
        <v>2</v>
      </c>
    </row>
    <row r="430" customFormat="false" ht="15" hidden="false" customHeight="false" outlineLevel="0" collapsed="false">
      <c r="A430" s="70" t="n">
        <v>46305</v>
      </c>
      <c r="B430" s="64" t="s">
        <v>29</v>
      </c>
      <c r="C430" s="64" t="s">
        <v>86</v>
      </c>
      <c r="D430" s="64" t="s">
        <v>6</v>
      </c>
      <c r="E430" s="64" t="s">
        <v>17</v>
      </c>
      <c r="F430" s="71" t="n">
        <f aca="false">Menu!D239</f>
        <v>2</v>
      </c>
      <c r="G430" s="64" t="s">
        <v>171</v>
      </c>
      <c r="H430" s="66" t="n">
        <f aca="false">F430/INDEX(Valeurs!$B$2:$B$40,MATCH(E430,Valeurs!$A$2:$A$40,0))*INDEX(Valeurs!$D$2:$D$40,MATCH(E430,Valeurs!$A$2:$A$40,0))</f>
        <v>174</v>
      </c>
      <c r="I430" s="72" t="n">
        <f aca="false">F430/INDEX(Valeurs!$B$2:$B$40,MATCH(E430,Valeurs!$A$2:$A$40,0))*INDEX(Valeurs!$E$2:$E$40,MATCH(E430,Valeurs!$A$2:$A$40,0))</f>
        <v>15</v>
      </c>
      <c r="J430" s="64" t="n">
        <v>2</v>
      </c>
    </row>
    <row r="431" customFormat="false" ht="15" hidden="false" customHeight="false" outlineLevel="0" collapsed="false">
      <c r="A431" s="70" t="n">
        <v>46305</v>
      </c>
      <c r="B431" s="64" t="s">
        <v>29</v>
      </c>
      <c r="C431" s="64" t="s">
        <v>86</v>
      </c>
      <c r="D431" s="64" t="s">
        <v>7</v>
      </c>
      <c r="E431" s="64" t="s">
        <v>17</v>
      </c>
      <c r="F431" s="71" t="n">
        <f aca="false">Menu!E239</f>
        <v>2</v>
      </c>
      <c r="G431" s="64" t="s">
        <v>171</v>
      </c>
      <c r="H431" s="66" t="n">
        <f aca="false">F431/INDEX(Valeurs!$B$2:$B$40,MATCH(E431,Valeurs!$A$2:$A$40,0))*INDEX(Valeurs!$D$2:$D$40,MATCH(E431,Valeurs!$A$2:$A$40,0))</f>
        <v>174</v>
      </c>
      <c r="I431" s="72" t="n">
        <f aca="false">F431/INDEX(Valeurs!$B$2:$B$40,MATCH(E431,Valeurs!$A$2:$A$40,0))*INDEX(Valeurs!$E$2:$E$40,MATCH(E431,Valeurs!$A$2:$A$40,0))</f>
        <v>15</v>
      </c>
      <c r="J431" s="64" t="n">
        <v>2</v>
      </c>
    </row>
    <row r="432" customFormat="false" ht="15" hidden="false" customHeight="false" outlineLevel="0" collapsed="false">
      <c r="A432" s="70" t="n">
        <v>46305</v>
      </c>
      <c r="B432" s="64" t="s">
        <v>29</v>
      </c>
      <c r="C432" s="64" t="s">
        <v>86</v>
      </c>
      <c r="D432" s="64" t="s">
        <v>6</v>
      </c>
      <c r="E432" s="64" t="s">
        <v>44</v>
      </c>
      <c r="F432" s="71" t="n">
        <f aca="false">Menu!D240</f>
        <v>80</v>
      </c>
      <c r="G432" s="64" t="s">
        <v>15</v>
      </c>
      <c r="H432" s="66" t="n">
        <f aca="false">F432/INDEX(Valeurs!$B$2:$B$40,MATCH(E432,Valeurs!$A$2:$A$40,0))*INDEX(Valeurs!$D$2:$D$40,MATCH(E432,Valeurs!$A$2:$A$40,0))</f>
        <v>32.8</v>
      </c>
      <c r="I432" s="72" t="n">
        <f aca="false">F432/INDEX(Valeurs!$B$2:$B$40,MATCH(E432,Valeurs!$A$2:$A$40,0))*INDEX(Valeurs!$E$2:$E$40,MATCH(E432,Valeurs!$A$2:$A$40,0))</f>
        <v>0.72</v>
      </c>
      <c r="J432" s="64" t="n">
        <v>2</v>
      </c>
    </row>
    <row r="433" customFormat="false" ht="15" hidden="false" customHeight="false" outlineLevel="0" collapsed="false">
      <c r="A433" s="70" t="n">
        <v>46305</v>
      </c>
      <c r="B433" s="64" t="s">
        <v>29</v>
      </c>
      <c r="C433" s="64" t="s">
        <v>86</v>
      </c>
      <c r="D433" s="64" t="s">
        <v>7</v>
      </c>
      <c r="E433" s="64" t="s">
        <v>44</v>
      </c>
      <c r="F433" s="71" t="n">
        <f aca="false">Menu!E240</f>
        <v>100</v>
      </c>
      <c r="G433" s="64" t="s">
        <v>15</v>
      </c>
      <c r="H433" s="66" t="n">
        <f aca="false">F433/INDEX(Valeurs!$B$2:$B$40,MATCH(E433,Valeurs!$A$2:$A$40,0))*INDEX(Valeurs!$D$2:$D$40,MATCH(E433,Valeurs!$A$2:$A$40,0))</f>
        <v>41</v>
      </c>
      <c r="I433" s="72" t="n">
        <f aca="false">F433/INDEX(Valeurs!$B$2:$B$40,MATCH(E433,Valeurs!$A$2:$A$40,0))*INDEX(Valeurs!$E$2:$E$40,MATCH(E433,Valeurs!$A$2:$A$40,0))</f>
        <v>0.9</v>
      </c>
      <c r="J433" s="64" t="n">
        <v>2</v>
      </c>
    </row>
    <row r="434" customFormat="false" ht="15" hidden="false" customHeight="false" outlineLevel="0" collapsed="false">
      <c r="A434" s="70" t="n">
        <v>46305</v>
      </c>
      <c r="B434" s="64" t="s">
        <v>29</v>
      </c>
      <c r="C434" s="64" t="s">
        <v>86</v>
      </c>
      <c r="D434" s="64" t="s">
        <v>6</v>
      </c>
      <c r="E434" s="64" t="s">
        <v>20</v>
      </c>
      <c r="F434" s="71" t="n">
        <f aca="false">Menu!D241</f>
        <v>150</v>
      </c>
      <c r="G434" s="64" t="s">
        <v>15</v>
      </c>
      <c r="H434" s="66" t="n">
        <f aca="false">F434/INDEX(Valeurs!$B$2:$B$40,MATCH(E434,Valeurs!$A$2:$A$40,0))*INDEX(Valeurs!$D$2:$D$40,MATCH(E434,Valeurs!$A$2:$A$40,0))</f>
        <v>27</v>
      </c>
      <c r="I434" s="72" t="n">
        <f aca="false">F434/INDEX(Valeurs!$B$2:$B$40,MATCH(E434,Valeurs!$A$2:$A$40,0))*INDEX(Valeurs!$E$2:$E$40,MATCH(E434,Valeurs!$A$2:$A$40,0))</f>
        <v>1.35</v>
      </c>
      <c r="J434" s="64" t="n">
        <v>2</v>
      </c>
    </row>
    <row r="435" customFormat="false" ht="15" hidden="false" customHeight="false" outlineLevel="0" collapsed="false">
      <c r="A435" s="70" t="n">
        <v>46305</v>
      </c>
      <c r="B435" s="64" t="s">
        <v>29</v>
      </c>
      <c r="C435" s="64" t="s">
        <v>86</v>
      </c>
      <c r="D435" s="64" t="s">
        <v>7</v>
      </c>
      <c r="E435" s="64" t="s">
        <v>20</v>
      </c>
      <c r="F435" s="71" t="n">
        <f aca="false">Menu!E241</f>
        <v>180</v>
      </c>
      <c r="G435" s="64" t="s">
        <v>15</v>
      </c>
      <c r="H435" s="66" t="n">
        <f aca="false">F435/INDEX(Valeurs!$B$2:$B$40,MATCH(E435,Valeurs!$A$2:$A$40,0))*INDEX(Valeurs!$D$2:$D$40,MATCH(E435,Valeurs!$A$2:$A$40,0))</f>
        <v>32.4</v>
      </c>
      <c r="I435" s="72" t="n">
        <f aca="false">F435/INDEX(Valeurs!$B$2:$B$40,MATCH(E435,Valeurs!$A$2:$A$40,0))*INDEX(Valeurs!$E$2:$E$40,MATCH(E435,Valeurs!$A$2:$A$40,0))</f>
        <v>1.62</v>
      </c>
      <c r="J435" s="64" t="n">
        <v>2</v>
      </c>
    </row>
    <row r="436" customFormat="false" ht="15" hidden="false" customHeight="false" outlineLevel="0" collapsed="false">
      <c r="A436" s="70" t="n">
        <v>46305</v>
      </c>
      <c r="B436" s="64" t="s">
        <v>29</v>
      </c>
      <c r="C436" s="64" t="s">
        <v>86</v>
      </c>
      <c r="D436" s="64" t="s">
        <v>6</v>
      </c>
      <c r="E436" s="64" t="s">
        <v>35</v>
      </c>
      <c r="F436" s="71" t="n">
        <f aca="false">Menu!D242</f>
        <v>30</v>
      </c>
      <c r="G436" s="64" t="s">
        <v>15</v>
      </c>
      <c r="H436" s="66" t="n">
        <f aca="false">F436/INDEX(Valeurs!$B$2:$B$40,MATCH(E436,Valeurs!$A$2:$A$40,0))*INDEX(Valeurs!$D$2:$D$40,MATCH(E436,Valeurs!$A$2:$A$40,0))</f>
        <v>12</v>
      </c>
      <c r="I436" s="72" t="n">
        <f aca="false">F436/INDEX(Valeurs!$B$2:$B$40,MATCH(E436,Valeurs!$A$2:$A$40,0))*INDEX(Valeurs!$E$2:$E$40,MATCH(E436,Valeurs!$A$2:$A$40,0))</f>
        <v>0.33</v>
      </c>
      <c r="J436" s="64" t="n">
        <v>2</v>
      </c>
    </row>
    <row r="437" customFormat="false" ht="15" hidden="false" customHeight="false" outlineLevel="0" collapsed="false">
      <c r="A437" s="70" t="n">
        <v>46305</v>
      </c>
      <c r="B437" s="64" t="s">
        <v>29</v>
      </c>
      <c r="C437" s="64" t="s">
        <v>86</v>
      </c>
      <c r="D437" s="64" t="s">
        <v>7</v>
      </c>
      <c r="E437" s="64" t="s">
        <v>35</v>
      </c>
      <c r="F437" s="71" t="n">
        <f aca="false">Menu!E242</f>
        <v>30</v>
      </c>
      <c r="G437" s="64" t="s">
        <v>15</v>
      </c>
      <c r="H437" s="66" t="n">
        <f aca="false">F437/INDEX(Valeurs!$B$2:$B$40,MATCH(E437,Valeurs!$A$2:$A$40,0))*INDEX(Valeurs!$D$2:$D$40,MATCH(E437,Valeurs!$A$2:$A$40,0))</f>
        <v>12</v>
      </c>
      <c r="I437" s="72" t="n">
        <f aca="false">F437/INDEX(Valeurs!$B$2:$B$40,MATCH(E437,Valeurs!$A$2:$A$40,0))*INDEX(Valeurs!$E$2:$E$40,MATCH(E437,Valeurs!$A$2:$A$40,0))</f>
        <v>0.33</v>
      </c>
      <c r="J437" s="64" t="n">
        <v>2</v>
      </c>
    </row>
    <row r="438" customFormat="false" ht="15" hidden="false" customHeight="false" outlineLevel="0" collapsed="false">
      <c r="A438" s="70" t="n">
        <v>46305</v>
      </c>
      <c r="B438" s="64" t="s">
        <v>29</v>
      </c>
      <c r="C438" s="64" t="s">
        <v>86</v>
      </c>
      <c r="D438" s="64" t="s">
        <v>6</v>
      </c>
      <c r="E438" s="64" t="s">
        <v>26</v>
      </c>
      <c r="F438" s="71" t="n">
        <f aca="false">Menu!D243</f>
        <v>240</v>
      </c>
      <c r="G438" s="64" t="s">
        <v>15</v>
      </c>
      <c r="H438" s="66" t="n">
        <f aca="false">F438/INDEX(Valeurs!$B$2:$B$40,MATCH(E438,Valeurs!$A$2:$A$40,0))*INDEX(Valeurs!$D$2:$D$40,MATCH(E438,Valeurs!$A$2:$A$40,0))</f>
        <v>192</v>
      </c>
      <c r="I438" s="72" t="n">
        <f aca="false">F438/INDEX(Valeurs!$B$2:$B$40,MATCH(E438,Valeurs!$A$2:$A$40,0))*INDEX(Valeurs!$E$2:$E$40,MATCH(E438,Valeurs!$A$2:$A$40,0))</f>
        <v>4.8</v>
      </c>
      <c r="J438" s="64" t="n">
        <v>2</v>
      </c>
    </row>
    <row r="439" customFormat="false" ht="15" hidden="false" customHeight="false" outlineLevel="0" collapsed="false">
      <c r="A439" s="70" t="n">
        <v>46305</v>
      </c>
      <c r="B439" s="64" t="s">
        <v>29</v>
      </c>
      <c r="C439" s="64" t="s">
        <v>86</v>
      </c>
      <c r="D439" s="64" t="s">
        <v>7</v>
      </c>
      <c r="E439" s="64" t="s">
        <v>26</v>
      </c>
      <c r="F439" s="71" t="n">
        <f aca="false">Menu!E243</f>
        <v>90</v>
      </c>
      <c r="G439" s="64" t="s">
        <v>15</v>
      </c>
      <c r="H439" s="66" t="n">
        <f aca="false">F439/INDEX(Valeurs!$B$2:$B$40,MATCH(E439,Valeurs!$A$2:$A$40,0))*INDEX(Valeurs!$D$2:$D$40,MATCH(E439,Valeurs!$A$2:$A$40,0))</f>
        <v>72</v>
      </c>
      <c r="I439" s="72" t="n">
        <f aca="false">F439/INDEX(Valeurs!$B$2:$B$40,MATCH(E439,Valeurs!$A$2:$A$40,0))*INDEX(Valeurs!$E$2:$E$40,MATCH(E439,Valeurs!$A$2:$A$40,0))</f>
        <v>1.8</v>
      </c>
      <c r="J439" s="64" t="n">
        <v>2</v>
      </c>
    </row>
    <row r="440" customFormat="false" ht="15" hidden="false" customHeight="false" outlineLevel="0" collapsed="false">
      <c r="A440" s="70" t="n">
        <v>46305</v>
      </c>
      <c r="B440" s="64" t="s">
        <v>29</v>
      </c>
      <c r="C440" s="64" t="s">
        <v>86</v>
      </c>
      <c r="D440" s="64" t="s">
        <v>6</v>
      </c>
      <c r="E440" s="64" t="s">
        <v>28</v>
      </c>
      <c r="F440" s="71" t="n">
        <f aca="false">Menu!D244</f>
        <v>10</v>
      </c>
      <c r="G440" s="64" t="s">
        <v>15</v>
      </c>
      <c r="H440" s="66" t="n">
        <f aca="false">F440/INDEX(Valeurs!$B$2:$B$40,MATCH(E440,Valeurs!$A$2:$A$40,0))*INDEX(Valeurs!$D$2:$D$40,MATCH(E440,Valeurs!$A$2:$A$40,0))</f>
        <v>90</v>
      </c>
      <c r="I440" s="72" t="n">
        <f aca="false">F440/INDEX(Valeurs!$B$2:$B$40,MATCH(E440,Valeurs!$A$2:$A$40,0))*INDEX(Valeurs!$E$2:$E$40,MATCH(E440,Valeurs!$A$2:$A$40,0))</f>
        <v>0</v>
      </c>
      <c r="J440" s="64" t="n">
        <v>2</v>
      </c>
    </row>
    <row r="441" customFormat="false" ht="15" hidden="false" customHeight="false" outlineLevel="0" collapsed="false">
      <c r="A441" s="70" t="n">
        <v>46305</v>
      </c>
      <c r="B441" s="64" t="s">
        <v>29</v>
      </c>
      <c r="C441" s="64" t="s">
        <v>86</v>
      </c>
      <c r="D441" s="64" t="s">
        <v>7</v>
      </c>
      <c r="E441" s="64" t="s">
        <v>28</v>
      </c>
      <c r="F441" s="71" t="n">
        <f aca="false">Menu!E244</f>
        <v>7</v>
      </c>
      <c r="G441" s="64" t="s">
        <v>15</v>
      </c>
      <c r="H441" s="66" t="n">
        <f aca="false">F441/INDEX(Valeurs!$B$2:$B$40,MATCH(E441,Valeurs!$A$2:$A$40,0))*INDEX(Valeurs!$D$2:$D$40,MATCH(E441,Valeurs!$A$2:$A$40,0))</f>
        <v>63</v>
      </c>
      <c r="I441" s="72" t="n">
        <f aca="false">F441/INDEX(Valeurs!$B$2:$B$40,MATCH(E441,Valeurs!$A$2:$A$40,0))*INDEX(Valeurs!$E$2:$E$40,MATCH(E441,Valeurs!$A$2:$A$40,0))</f>
        <v>0</v>
      </c>
      <c r="J441" s="64" t="n">
        <v>2</v>
      </c>
    </row>
    <row r="442" customFormat="false" ht="15" hidden="false" customHeight="false" outlineLevel="0" collapsed="false">
      <c r="A442" s="70" t="n">
        <v>46305</v>
      </c>
      <c r="B442" s="64" t="s">
        <v>36</v>
      </c>
      <c r="C442" s="64" t="s">
        <v>47</v>
      </c>
      <c r="D442" s="64" t="s">
        <v>6</v>
      </c>
      <c r="E442" s="64" t="s">
        <v>47</v>
      </c>
      <c r="F442" s="71" t="n">
        <f aca="false">Menu!D245</f>
        <v>110</v>
      </c>
      <c r="G442" s="64" t="s">
        <v>15</v>
      </c>
      <c r="H442" s="66" t="n">
        <f aca="false">F442/INDEX(Valeurs!$B$2:$B$40,MATCH(E442,Valeurs!$A$2:$A$40,0))*INDEX(Valeurs!$D$2:$D$40,MATCH(E442,Valeurs!$A$2:$A$40,0))</f>
        <v>55</v>
      </c>
      <c r="I442" s="72" t="n">
        <f aca="false">F442/INDEX(Valeurs!$B$2:$B$40,MATCH(E442,Valeurs!$A$2:$A$40,0))*INDEX(Valeurs!$E$2:$E$40,MATCH(E442,Valeurs!$A$2:$A$40,0))</f>
        <v>0.55</v>
      </c>
      <c r="J442" s="64" t="n">
        <v>2</v>
      </c>
    </row>
    <row r="443" customFormat="false" ht="15" hidden="false" customHeight="false" outlineLevel="0" collapsed="false">
      <c r="A443" s="70" t="n">
        <v>46305</v>
      </c>
      <c r="B443" s="64" t="s">
        <v>36</v>
      </c>
      <c r="C443" s="64" t="s">
        <v>47</v>
      </c>
      <c r="D443" s="64" t="s">
        <v>7</v>
      </c>
      <c r="E443" s="64" t="s">
        <v>47</v>
      </c>
      <c r="F443" s="71" t="n">
        <f aca="false">Menu!E245</f>
        <v>90</v>
      </c>
      <c r="G443" s="64" t="s">
        <v>15</v>
      </c>
      <c r="H443" s="66" t="n">
        <f aca="false">F443/INDEX(Valeurs!$B$2:$B$40,MATCH(E443,Valeurs!$A$2:$A$40,0))*INDEX(Valeurs!$D$2:$D$40,MATCH(E443,Valeurs!$A$2:$A$40,0))</f>
        <v>45</v>
      </c>
      <c r="I443" s="72" t="n">
        <f aca="false">F443/INDEX(Valeurs!$B$2:$B$40,MATCH(E443,Valeurs!$A$2:$A$40,0))*INDEX(Valeurs!$E$2:$E$40,MATCH(E443,Valeurs!$A$2:$A$40,0))</f>
        <v>0.45</v>
      </c>
      <c r="J443" s="64" t="n">
        <v>2</v>
      </c>
    </row>
    <row r="444" customFormat="false" ht="15" hidden="false" customHeight="false" outlineLevel="0" collapsed="false">
      <c r="A444" s="70" t="n">
        <v>46306</v>
      </c>
      <c r="B444" s="64" t="s">
        <v>10</v>
      </c>
      <c r="C444" s="64" t="s">
        <v>11</v>
      </c>
      <c r="D444" s="64" t="s">
        <v>6</v>
      </c>
      <c r="E444" s="64" t="s">
        <v>12</v>
      </c>
      <c r="F444" s="71" t="n">
        <f aca="false">Menu!D248</f>
        <v>250</v>
      </c>
      <c r="G444" s="64" t="s">
        <v>13</v>
      </c>
      <c r="H444" s="66" t="n">
        <f aca="false">F444/INDEX(Valeurs!$B$2:$B$40,MATCH(E444,Valeurs!$A$2:$A$40,0))*INDEX(Valeurs!$D$2:$D$40,MATCH(E444,Valeurs!$A$2:$A$40,0))</f>
        <v>115</v>
      </c>
      <c r="I444" s="72" t="n">
        <f aca="false">F444/INDEX(Valeurs!$B$2:$B$40,MATCH(E444,Valeurs!$A$2:$A$40,0))*INDEX(Valeurs!$E$2:$E$40,MATCH(E444,Valeurs!$A$2:$A$40,0))</f>
        <v>8.25</v>
      </c>
      <c r="J444" s="64" t="n">
        <v>2</v>
      </c>
    </row>
    <row r="445" customFormat="false" ht="15" hidden="false" customHeight="false" outlineLevel="0" collapsed="false">
      <c r="A445" s="70" t="n">
        <v>46306</v>
      </c>
      <c r="B445" s="64" t="s">
        <v>10</v>
      </c>
      <c r="C445" s="64" t="s">
        <v>11</v>
      </c>
      <c r="D445" s="64" t="s">
        <v>7</v>
      </c>
      <c r="E445" s="64" t="s">
        <v>12</v>
      </c>
      <c r="F445" s="71" t="n">
        <f aca="false">Menu!E248</f>
        <v>0</v>
      </c>
      <c r="G445" s="64" t="s">
        <v>13</v>
      </c>
      <c r="H445" s="66" t="n">
        <f aca="false">F445/INDEX(Valeurs!$B$2:$B$40,MATCH(E445,Valeurs!$A$2:$A$40,0))*INDEX(Valeurs!$D$2:$D$40,MATCH(E445,Valeurs!$A$2:$A$40,0))</f>
        <v>0</v>
      </c>
      <c r="I445" s="72" t="n">
        <f aca="false">F445/INDEX(Valeurs!$B$2:$B$40,MATCH(E445,Valeurs!$A$2:$A$40,0))*INDEX(Valeurs!$E$2:$E$40,MATCH(E445,Valeurs!$A$2:$A$40,0))</f>
        <v>0</v>
      </c>
      <c r="J445" s="64" t="n">
        <v>2</v>
      </c>
    </row>
    <row r="446" customFormat="false" ht="15" hidden="false" customHeight="false" outlineLevel="0" collapsed="false">
      <c r="A446" s="70" t="n">
        <v>46306</v>
      </c>
      <c r="B446" s="64" t="s">
        <v>10</v>
      </c>
      <c r="C446" s="64" t="s">
        <v>11</v>
      </c>
      <c r="D446" s="64" t="s">
        <v>6</v>
      </c>
      <c r="E446" s="64" t="s">
        <v>14</v>
      </c>
      <c r="F446" s="71" t="n">
        <f aca="false">Menu!D249</f>
        <v>100</v>
      </c>
      <c r="G446" s="64" t="s">
        <v>15</v>
      </c>
      <c r="H446" s="66" t="n">
        <f aca="false">F446/INDEX(Valeurs!$B$2:$B$40,MATCH(E446,Valeurs!$A$2:$A$40,0))*INDEX(Valeurs!$D$2:$D$40,MATCH(E446,Valeurs!$A$2:$A$40,0))</f>
        <v>90</v>
      </c>
      <c r="I446" s="72" t="n">
        <f aca="false">F446/INDEX(Valeurs!$B$2:$B$40,MATCH(E446,Valeurs!$A$2:$A$40,0))*INDEX(Valeurs!$E$2:$E$40,MATCH(E446,Valeurs!$A$2:$A$40,0))</f>
        <v>1.1</v>
      </c>
      <c r="J446" s="64" t="n">
        <v>2</v>
      </c>
    </row>
    <row r="447" customFormat="false" ht="15" hidden="false" customHeight="false" outlineLevel="0" collapsed="false">
      <c r="A447" s="70" t="n">
        <v>46306</v>
      </c>
      <c r="B447" s="64" t="s">
        <v>10</v>
      </c>
      <c r="C447" s="64" t="s">
        <v>11</v>
      </c>
      <c r="D447" s="64" t="s">
        <v>7</v>
      </c>
      <c r="E447" s="64" t="s">
        <v>14</v>
      </c>
      <c r="F447" s="71" t="n">
        <f aca="false">Menu!E249</f>
        <v>0</v>
      </c>
      <c r="G447" s="64" t="s">
        <v>15</v>
      </c>
      <c r="H447" s="66" t="n">
        <f aca="false">F447/INDEX(Valeurs!$B$2:$B$40,MATCH(E447,Valeurs!$A$2:$A$40,0))*INDEX(Valeurs!$D$2:$D$40,MATCH(E447,Valeurs!$A$2:$A$40,0))</f>
        <v>0</v>
      </c>
      <c r="I447" s="72" t="n">
        <f aca="false">F447/INDEX(Valeurs!$B$2:$B$40,MATCH(E447,Valeurs!$A$2:$A$40,0))*INDEX(Valeurs!$E$2:$E$40,MATCH(E447,Valeurs!$A$2:$A$40,0))</f>
        <v>0</v>
      </c>
      <c r="J447" s="64" t="n">
        <v>2</v>
      </c>
    </row>
    <row r="448" customFormat="false" ht="15" hidden="false" customHeight="false" outlineLevel="0" collapsed="false">
      <c r="A448" s="70" t="n">
        <v>46306</v>
      </c>
      <c r="B448" s="64" t="s">
        <v>10</v>
      </c>
      <c r="C448" s="64" t="s">
        <v>11</v>
      </c>
      <c r="D448" s="64" t="s">
        <v>6</v>
      </c>
      <c r="E448" s="64" t="s">
        <v>16</v>
      </c>
      <c r="F448" s="71" t="n">
        <f aca="false">Menu!D250</f>
        <v>65</v>
      </c>
      <c r="G448" s="64" t="s">
        <v>15</v>
      </c>
      <c r="H448" s="66" t="n">
        <f aca="false">F448/INDEX(Valeurs!$B$2:$B$40,MATCH(E448,Valeurs!$A$2:$A$40,0))*INDEX(Valeurs!$D$2:$D$40,MATCH(E448,Valeurs!$A$2:$A$40,0))</f>
        <v>241.8</v>
      </c>
      <c r="I448" s="72" t="n">
        <f aca="false">F448/INDEX(Valeurs!$B$2:$B$40,MATCH(E448,Valeurs!$A$2:$A$40,0))*INDEX(Valeurs!$E$2:$E$40,MATCH(E448,Valeurs!$A$2:$A$40,0))</f>
        <v>8.775</v>
      </c>
      <c r="J448" s="64" t="n">
        <v>2</v>
      </c>
    </row>
    <row r="449" customFormat="false" ht="15" hidden="false" customHeight="false" outlineLevel="0" collapsed="false">
      <c r="A449" s="70" t="n">
        <v>46306</v>
      </c>
      <c r="B449" s="64" t="s">
        <v>10</v>
      </c>
      <c r="C449" s="64" t="s">
        <v>11</v>
      </c>
      <c r="D449" s="64" t="s">
        <v>7</v>
      </c>
      <c r="E449" s="64" t="s">
        <v>16</v>
      </c>
      <c r="F449" s="71" t="n">
        <f aca="false">Menu!E250</f>
        <v>0</v>
      </c>
      <c r="G449" s="64" t="s">
        <v>15</v>
      </c>
      <c r="H449" s="66" t="n">
        <f aca="false">F449/INDEX(Valeurs!$B$2:$B$40,MATCH(E449,Valeurs!$A$2:$A$40,0))*INDEX(Valeurs!$D$2:$D$40,MATCH(E449,Valeurs!$A$2:$A$40,0))</f>
        <v>0</v>
      </c>
      <c r="I449" s="72" t="n">
        <f aca="false">F449/INDEX(Valeurs!$B$2:$B$40,MATCH(E449,Valeurs!$A$2:$A$40,0))*INDEX(Valeurs!$E$2:$E$40,MATCH(E449,Valeurs!$A$2:$A$40,0))</f>
        <v>0</v>
      </c>
      <c r="J449" s="64" t="n">
        <v>2</v>
      </c>
    </row>
    <row r="450" customFormat="false" ht="15" hidden="false" customHeight="false" outlineLevel="0" collapsed="false">
      <c r="A450" s="70" t="n">
        <v>46306</v>
      </c>
      <c r="B450" s="64" t="s">
        <v>10</v>
      </c>
      <c r="C450" s="64" t="s">
        <v>11</v>
      </c>
      <c r="D450" s="64" t="s">
        <v>6</v>
      </c>
      <c r="E450" s="64" t="s">
        <v>17</v>
      </c>
      <c r="F450" s="71" t="n">
        <f aca="false">Menu!D251</f>
        <v>1</v>
      </c>
      <c r="G450" s="64" t="s">
        <v>171</v>
      </c>
      <c r="H450" s="66" t="n">
        <f aca="false">F450/INDEX(Valeurs!$B$2:$B$40,MATCH(E450,Valeurs!$A$2:$A$40,0))*INDEX(Valeurs!$D$2:$D$40,MATCH(E450,Valeurs!$A$2:$A$40,0))</f>
        <v>87</v>
      </c>
      <c r="I450" s="72" t="n">
        <f aca="false">F450/INDEX(Valeurs!$B$2:$B$40,MATCH(E450,Valeurs!$A$2:$A$40,0))*INDEX(Valeurs!$E$2:$E$40,MATCH(E450,Valeurs!$A$2:$A$40,0))</f>
        <v>7.5</v>
      </c>
      <c r="J450" s="64" t="n">
        <v>2</v>
      </c>
    </row>
    <row r="451" customFormat="false" ht="15" hidden="false" customHeight="false" outlineLevel="0" collapsed="false">
      <c r="A451" s="70" t="n">
        <v>46306</v>
      </c>
      <c r="B451" s="64" t="s">
        <v>10</v>
      </c>
      <c r="C451" s="64" t="s">
        <v>11</v>
      </c>
      <c r="D451" s="64" t="s">
        <v>7</v>
      </c>
      <c r="E451" s="64" t="s">
        <v>17</v>
      </c>
      <c r="F451" s="71" t="n">
        <f aca="false">Menu!E251</f>
        <v>2</v>
      </c>
      <c r="G451" s="64" t="s">
        <v>171</v>
      </c>
      <c r="H451" s="66" t="n">
        <f aca="false">F451/INDEX(Valeurs!$B$2:$B$40,MATCH(E451,Valeurs!$A$2:$A$40,0))*INDEX(Valeurs!$D$2:$D$40,MATCH(E451,Valeurs!$A$2:$A$40,0))</f>
        <v>174</v>
      </c>
      <c r="I451" s="72" t="n">
        <f aca="false">F451/INDEX(Valeurs!$B$2:$B$40,MATCH(E451,Valeurs!$A$2:$A$40,0))*INDEX(Valeurs!$E$2:$E$40,MATCH(E451,Valeurs!$A$2:$A$40,0))</f>
        <v>15</v>
      </c>
      <c r="J451" s="64" t="n">
        <v>2</v>
      </c>
    </row>
    <row r="452" customFormat="false" ht="15" hidden="false" customHeight="false" outlineLevel="0" collapsed="false">
      <c r="A452" s="70" t="n">
        <v>46306</v>
      </c>
      <c r="B452" s="64" t="s">
        <v>10</v>
      </c>
      <c r="C452" s="64" t="s">
        <v>11</v>
      </c>
      <c r="D452" s="64" t="s">
        <v>6</v>
      </c>
      <c r="E452" s="64" t="s">
        <v>19</v>
      </c>
      <c r="F452" s="71" t="n">
        <f aca="false">Menu!D252</f>
        <v>0</v>
      </c>
      <c r="G452" s="64" t="s">
        <v>15</v>
      </c>
      <c r="H452" s="66" t="n">
        <f aca="false">F452/INDEX(Valeurs!$B$2:$B$40,MATCH(E452,Valeurs!$A$2:$A$40,0))*INDEX(Valeurs!$D$2:$D$40,MATCH(E452,Valeurs!$A$2:$A$40,0))</f>
        <v>0</v>
      </c>
      <c r="I452" s="72" t="n">
        <f aca="false">F452/INDEX(Valeurs!$B$2:$B$40,MATCH(E452,Valeurs!$A$2:$A$40,0))*INDEX(Valeurs!$E$2:$E$40,MATCH(E452,Valeurs!$A$2:$A$40,0))</f>
        <v>0</v>
      </c>
      <c r="J452" s="64" t="n">
        <v>2</v>
      </c>
    </row>
    <row r="453" customFormat="false" ht="15" hidden="false" customHeight="false" outlineLevel="0" collapsed="false">
      <c r="A453" s="70" t="n">
        <v>46306</v>
      </c>
      <c r="B453" s="64" t="s">
        <v>10</v>
      </c>
      <c r="C453" s="64" t="s">
        <v>11</v>
      </c>
      <c r="D453" s="64" t="s">
        <v>7</v>
      </c>
      <c r="E453" s="64" t="s">
        <v>19</v>
      </c>
      <c r="F453" s="71" t="n">
        <f aca="false">Menu!E252</f>
        <v>30</v>
      </c>
      <c r="G453" s="64" t="s">
        <v>15</v>
      </c>
      <c r="H453" s="66" t="n">
        <f aca="false">F453/INDEX(Valeurs!$B$2:$B$40,MATCH(E453,Valeurs!$A$2:$A$40,0))*INDEX(Valeurs!$D$2:$D$40,MATCH(E453,Valeurs!$A$2:$A$40,0))</f>
        <v>33</v>
      </c>
      <c r="I453" s="72" t="n">
        <f aca="false">F453/INDEX(Valeurs!$B$2:$B$40,MATCH(E453,Valeurs!$A$2:$A$40,0))*INDEX(Valeurs!$E$2:$E$40,MATCH(E453,Valeurs!$A$2:$A$40,0))</f>
        <v>6</v>
      </c>
      <c r="J453" s="64" t="n">
        <v>2</v>
      </c>
    </row>
    <row r="454" customFormat="false" ht="15" hidden="false" customHeight="false" outlineLevel="0" collapsed="false">
      <c r="A454" s="70" t="n">
        <v>46306</v>
      </c>
      <c r="B454" s="64" t="s">
        <v>10</v>
      </c>
      <c r="C454" s="64" t="s">
        <v>11</v>
      </c>
      <c r="D454" s="64" t="s">
        <v>6</v>
      </c>
      <c r="E454" s="64" t="s">
        <v>20</v>
      </c>
      <c r="F454" s="71" t="n">
        <f aca="false">Menu!D253</f>
        <v>0</v>
      </c>
      <c r="G454" s="64" t="s">
        <v>15</v>
      </c>
      <c r="H454" s="66" t="n">
        <f aca="false">F454/INDEX(Valeurs!$B$2:$B$40,MATCH(E454,Valeurs!$A$2:$A$40,0))*INDEX(Valeurs!$D$2:$D$40,MATCH(E454,Valeurs!$A$2:$A$40,0))</f>
        <v>0</v>
      </c>
      <c r="I454" s="72" t="n">
        <f aca="false">F454/INDEX(Valeurs!$B$2:$B$40,MATCH(E454,Valeurs!$A$2:$A$40,0))*INDEX(Valeurs!$E$2:$E$40,MATCH(E454,Valeurs!$A$2:$A$40,0))</f>
        <v>0</v>
      </c>
      <c r="J454" s="64" t="n">
        <v>2</v>
      </c>
    </row>
    <row r="455" customFormat="false" ht="15" hidden="false" customHeight="false" outlineLevel="0" collapsed="false">
      <c r="A455" s="70" t="n">
        <v>46306</v>
      </c>
      <c r="B455" s="64" t="s">
        <v>10</v>
      </c>
      <c r="C455" s="64" t="s">
        <v>11</v>
      </c>
      <c r="D455" s="64" t="s">
        <v>7</v>
      </c>
      <c r="E455" s="64" t="s">
        <v>20</v>
      </c>
      <c r="F455" s="71" t="n">
        <f aca="false">Menu!E253</f>
        <v>80</v>
      </c>
      <c r="G455" s="64" t="s">
        <v>15</v>
      </c>
      <c r="H455" s="66" t="n">
        <f aca="false">F455/INDEX(Valeurs!$B$2:$B$40,MATCH(E455,Valeurs!$A$2:$A$40,0))*INDEX(Valeurs!$D$2:$D$40,MATCH(E455,Valeurs!$A$2:$A$40,0))</f>
        <v>14.4</v>
      </c>
      <c r="I455" s="72" t="n">
        <f aca="false">F455/INDEX(Valeurs!$B$2:$B$40,MATCH(E455,Valeurs!$A$2:$A$40,0))*INDEX(Valeurs!$E$2:$E$40,MATCH(E455,Valeurs!$A$2:$A$40,0))</f>
        <v>0.72</v>
      </c>
      <c r="J455" s="64" t="n">
        <v>2</v>
      </c>
    </row>
    <row r="456" customFormat="false" ht="15" hidden="false" customHeight="false" outlineLevel="0" collapsed="false">
      <c r="A456" s="70" t="n">
        <v>46306</v>
      </c>
      <c r="B456" s="64" t="s">
        <v>10</v>
      </c>
      <c r="C456" s="64" t="s">
        <v>11</v>
      </c>
      <c r="D456" s="64" t="s">
        <v>6</v>
      </c>
      <c r="E456" s="64" t="s">
        <v>21</v>
      </c>
      <c r="F456" s="71" t="n">
        <f aca="false">Menu!D254</f>
        <v>0</v>
      </c>
      <c r="G456" s="64" t="s">
        <v>15</v>
      </c>
      <c r="H456" s="66" t="n">
        <f aca="false">F456/INDEX(Valeurs!$B$2:$B$40,MATCH(E456,Valeurs!$A$2:$A$40,0))*INDEX(Valeurs!$D$2:$D$40,MATCH(E456,Valeurs!$A$2:$A$40,0))</f>
        <v>0</v>
      </c>
      <c r="I456" s="72" t="n">
        <f aca="false">F456/INDEX(Valeurs!$B$2:$B$40,MATCH(E456,Valeurs!$A$2:$A$40,0))*INDEX(Valeurs!$E$2:$E$40,MATCH(E456,Valeurs!$A$2:$A$40,0))</f>
        <v>0</v>
      </c>
      <c r="J456" s="64" t="n">
        <v>2</v>
      </c>
    </row>
    <row r="457" customFormat="false" ht="15" hidden="false" customHeight="false" outlineLevel="0" collapsed="false">
      <c r="A457" s="70" t="n">
        <v>46306</v>
      </c>
      <c r="B457" s="64" t="s">
        <v>10</v>
      </c>
      <c r="C457" s="64" t="s">
        <v>11</v>
      </c>
      <c r="D457" s="64" t="s">
        <v>7</v>
      </c>
      <c r="E457" s="64" t="s">
        <v>21</v>
      </c>
      <c r="F457" s="71" t="n">
        <f aca="false">Menu!E254</f>
        <v>40</v>
      </c>
      <c r="G457" s="64" t="s">
        <v>15</v>
      </c>
      <c r="H457" s="66" t="n">
        <f aca="false">F457/INDEX(Valeurs!$B$2:$B$40,MATCH(E457,Valeurs!$A$2:$A$40,0))*INDEX(Valeurs!$D$2:$D$40,MATCH(E457,Valeurs!$A$2:$A$40,0))</f>
        <v>96</v>
      </c>
      <c r="I457" s="72" t="n">
        <f aca="false">F457/INDEX(Valeurs!$B$2:$B$40,MATCH(E457,Valeurs!$A$2:$A$40,0))*INDEX(Valeurs!$E$2:$E$40,MATCH(E457,Valeurs!$A$2:$A$40,0))</f>
        <v>3.6</v>
      </c>
      <c r="J457" s="64" t="n">
        <v>2</v>
      </c>
    </row>
    <row r="458" customFormat="false" ht="15" hidden="false" customHeight="false" outlineLevel="0" collapsed="false">
      <c r="A458" s="70" t="n">
        <v>46306</v>
      </c>
      <c r="B458" s="64" t="s">
        <v>10</v>
      </c>
      <c r="C458" s="64" t="s">
        <v>11</v>
      </c>
      <c r="D458" s="64" t="s">
        <v>6</v>
      </c>
      <c r="E458" s="64" t="s">
        <v>22</v>
      </c>
      <c r="F458" s="71" t="n">
        <f aca="false">Menu!D255</f>
        <v>0</v>
      </c>
      <c r="G458" s="64" t="s">
        <v>15</v>
      </c>
      <c r="H458" s="66" t="n">
        <f aca="false">F458/INDEX(Valeurs!$B$2:$B$40,MATCH(E458,Valeurs!$A$2:$A$40,0))*INDEX(Valeurs!$D$2:$D$40,MATCH(E458,Valeurs!$A$2:$A$40,0))</f>
        <v>0</v>
      </c>
      <c r="I458" s="72" t="n">
        <f aca="false">F458/INDEX(Valeurs!$B$2:$B$40,MATCH(E458,Valeurs!$A$2:$A$40,0))*INDEX(Valeurs!$E$2:$E$40,MATCH(E458,Valeurs!$A$2:$A$40,0))</f>
        <v>0</v>
      </c>
      <c r="J458" s="64" t="n">
        <v>2</v>
      </c>
    </row>
    <row r="459" customFormat="false" ht="15" hidden="false" customHeight="false" outlineLevel="0" collapsed="false">
      <c r="A459" s="70" t="n">
        <v>46306</v>
      </c>
      <c r="B459" s="64" t="s">
        <v>10</v>
      </c>
      <c r="C459" s="64" t="s">
        <v>11</v>
      </c>
      <c r="D459" s="64" t="s">
        <v>7</v>
      </c>
      <c r="E459" s="64" t="s">
        <v>22</v>
      </c>
      <c r="F459" s="71" t="n">
        <f aca="false">Menu!E255</f>
        <v>150</v>
      </c>
      <c r="G459" s="64" t="s">
        <v>15</v>
      </c>
      <c r="H459" s="66" t="n">
        <f aca="false">F459/INDEX(Valeurs!$B$2:$B$40,MATCH(E459,Valeurs!$A$2:$A$40,0))*INDEX(Valeurs!$D$2:$D$40,MATCH(E459,Valeurs!$A$2:$A$40,0))</f>
        <v>78</v>
      </c>
      <c r="I459" s="72" t="n">
        <f aca="false">F459/INDEX(Valeurs!$B$2:$B$40,MATCH(E459,Valeurs!$A$2:$A$40,0))*INDEX(Valeurs!$E$2:$E$40,MATCH(E459,Valeurs!$A$2:$A$40,0))</f>
        <v>0.45</v>
      </c>
      <c r="J459" s="64" t="n">
        <v>2</v>
      </c>
    </row>
    <row r="460" customFormat="false" ht="15" hidden="false" customHeight="false" outlineLevel="0" collapsed="false">
      <c r="A460" s="70" t="n">
        <v>46306</v>
      </c>
      <c r="B460" s="64" t="s">
        <v>23</v>
      </c>
      <c r="C460" s="64" t="s">
        <v>88</v>
      </c>
      <c r="D460" s="64" t="s">
        <v>6</v>
      </c>
      <c r="E460" s="64" t="s">
        <v>81</v>
      </c>
      <c r="F460" s="71" t="n">
        <f aca="false">Menu!D256</f>
        <v>100</v>
      </c>
      <c r="G460" s="64" t="s">
        <v>15</v>
      </c>
      <c r="H460" s="66" t="n">
        <f aca="false">F460/INDEX(Valeurs!$B$2:$B$40,MATCH(E460,Valeurs!$A$2:$A$40,0))*INDEX(Valeurs!$D$2:$D$40,MATCH(E460,Valeurs!$A$2:$A$40,0))</f>
        <v>350</v>
      </c>
      <c r="I460" s="72" t="n">
        <f aca="false">F460/INDEX(Valeurs!$B$2:$B$40,MATCH(E460,Valeurs!$A$2:$A$40,0))*INDEX(Valeurs!$E$2:$E$40,MATCH(E460,Valeurs!$A$2:$A$40,0))</f>
        <v>10</v>
      </c>
      <c r="J460" s="64" t="n">
        <v>2</v>
      </c>
    </row>
    <row r="461" customFormat="false" ht="15" hidden="false" customHeight="false" outlineLevel="0" collapsed="false">
      <c r="A461" s="70" t="n">
        <v>46306</v>
      </c>
      <c r="B461" s="64" t="s">
        <v>23</v>
      </c>
      <c r="C461" s="64" t="s">
        <v>88</v>
      </c>
      <c r="D461" s="64" t="s">
        <v>7</v>
      </c>
      <c r="E461" s="64" t="s">
        <v>81</v>
      </c>
      <c r="F461" s="71" t="n">
        <f aca="false">Menu!E256</f>
        <v>65</v>
      </c>
      <c r="G461" s="64" t="s">
        <v>15</v>
      </c>
      <c r="H461" s="66" t="n">
        <f aca="false">F461/INDEX(Valeurs!$B$2:$B$40,MATCH(E461,Valeurs!$A$2:$A$40,0))*INDEX(Valeurs!$D$2:$D$40,MATCH(E461,Valeurs!$A$2:$A$40,0))</f>
        <v>227.5</v>
      </c>
      <c r="I461" s="72" t="n">
        <f aca="false">F461/INDEX(Valeurs!$B$2:$B$40,MATCH(E461,Valeurs!$A$2:$A$40,0))*INDEX(Valeurs!$E$2:$E$40,MATCH(E461,Valeurs!$A$2:$A$40,0))</f>
        <v>6.5</v>
      </c>
      <c r="J461" s="64" t="n">
        <v>2</v>
      </c>
    </row>
    <row r="462" customFormat="false" ht="15" hidden="false" customHeight="false" outlineLevel="0" collapsed="false">
      <c r="A462" s="70" t="n">
        <v>46306</v>
      </c>
      <c r="B462" s="64" t="s">
        <v>23</v>
      </c>
      <c r="C462" s="64" t="s">
        <v>88</v>
      </c>
      <c r="D462" s="64" t="s">
        <v>6</v>
      </c>
      <c r="E462" s="64" t="s">
        <v>28</v>
      </c>
      <c r="F462" s="71" t="n">
        <f aca="false">Menu!D257</f>
        <v>10</v>
      </c>
      <c r="G462" s="64" t="s">
        <v>15</v>
      </c>
      <c r="H462" s="66" t="n">
        <f aca="false">F462/INDEX(Valeurs!$B$2:$B$40,MATCH(E462,Valeurs!$A$2:$A$40,0))*INDEX(Valeurs!$D$2:$D$40,MATCH(E462,Valeurs!$A$2:$A$40,0))</f>
        <v>90</v>
      </c>
      <c r="I462" s="72" t="n">
        <f aca="false">F462/INDEX(Valeurs!$B$2:$B$40,MATCH(E462,Valeurs!$A$2:$A$40,0))*INDEX(Valeurs!$E$2:$E$40,MATCH(E462,Valeurs!$A$2:$A$40,0))</f>
        <v>0</v>
      </c>
      <c r="J462" s="64" t="n">
        <v>2</v>
      </c>
    </row>
    <row r="463" customFormat="false" ht="15" hidden="false" customHeight="false" outlineLevel="0" collapsed="false">
      <c r="A463" s="70" t="n">
        <v>46306</v>
      </c>
      <c r="B463" s="64" t="s">
        <v>23</v>
      </c>
      <c r="C463" s="64" t="s">
        <v>88</v>
      </c>
      <c r="D463" s="64" t="s">
        <v>7</v>
      </c>
      <c r="E463" s="64" t="s">
        <v>28</v>
      </c>
      <c r="F463" s="71" t="n">
        <f aca="false">Menu!E257</f>
        <v>7</v>
      </c>
      <c r="G463" s="64" t="s">
        <v>15</v>
      </c>
      <c r="H463" s="66" t="n">
        <f aca="false">F463/INDEX(Valeurs!$B$2:$B$40,MATCH(E463,Valeurs!$A$2:$A$40,0))*INDEX(Valeurs!$D$2:$D$40,MATCH(E463,Valeurs!$A$2:$A$40,0))</f>
        <v>63</v>
      </c>
      <c r="I463" s="72" t="n">
        <f aca="false">F463/INDEX(Valeurs!$B$2:$B$40,MATCH(E463,Valeurs!$A$2:$A$40,0))*INDEX(Valeurs!$E$2:$E$40,MATCH(E463,Valeurs!$A$2:$A$40,0))</f>
        <v>0</v>
      </c>
      <c r="J463" s="64" t="n">
        <v>2</v>
      </c>
    </row>
    <row r="464" customFormat="false" ht="15" hidden="false" customHeight="false" outlineLevel="0" collapsed="false">
      <c r="A464" s="70" t="n">
        <v>46306</v>
      </c>
      <c r="B464" s="64" t="s">
        <v>23</v>
      </c>
      <c r="C464" s="64" t="s">
        <v>88</v>
      </c>
      <c r="D464" s="64" t="s">
        <v>6</v>
      </c>
      <c r="E464" s="64" t="s">
        <v>51</v>
      </c>
      <c r="F464" s="71" t="n">
        <f aca="false">Menu!D258</f>
        <v>90</v>
      </c>
      <c r="G464" s="64" t="s">
        <v>15</v>
      </c>
      <c r="H464" s="66" t="n">
        <f aca="false">F464/INDEX(Valeurs!$B$2:$B$40,MATCH(E464,Valeurs!$A$2:$A$40,0))*INDEX(Valeurs!$D$2:$D$40,MATCH(E464,Valeurs!$A$2:$A$40,0))</f>
        <v>126</v>
      </c>
      <c r="I464" s="72" t="n">
        <f aca="false">F464/INDEX(Valeurs!$B$2:$B$40,MATCH(E464,Valeurs!$A$2:$A$40,0))*INDEX(Valeurs!$E$2:$E$40,MATCH(E464,Valeurs!$A$2:$A$40,0))</f>
        <v>18.9</v>
      </c>
      <c r="J464" s="64" t="n">
        <v>2</v>
      </c>
    </row>
    <row r="465" customFormat="false" ht="15" hidden="false" customHeight="false" outlineLevel="0" collapsed="false">
      <c r="A465" s="70" t="n">
        <v>46306</v>
      </c>
      <c r="B465" s="64" t="s">
        <v>23</v>
      </c>
      <c r="C465" s="64" t="s">
        <v>88</v>
      </c>
      <c r="D465" s="64" t="s">
        <v>7</v>
      </c>
      <c r="E465" s="64" t="s">
        <v>51</v>
      </c>
      <c r="F465" s="71" t="n">
        <f aca="false">Menu!E258</f>
        <v>70</v>
      </c>
      <c r="G465" s="64" t="s">
        <v>15</v>
      </c>
      <c r="H465" s="66" t="n">
        <f aca="false">F465/INDEX(Valeurs!$B$2:$B$40,MATCH(E465,Valeurs!$A$2:$A$40,0))*INDEX(Valeurs!$D$2:$D$40,MATCH(E465,Valeurs!$A$2:$A$40,0))</f>
        <v>98</v>
      </c>
      <c r="I465" s="72" t="n">
        <f aca="false">F465/INDEX(Valeurs!$B$2:$B$40,MATCH(E465,Valeurs!$A$2:$A$40,0))*INDEX(Valeurs!$E$2:$E$40,MATCH(E465,Valeurs!$A$2:$A$40,0))</f>
        <v>14.7</v>
      </c>
      <c r="J465" s="64" t="n">
        <v>2</v>
      </c>
    </row>
    <row r="466" customFormat="false" ht="15" hidden="false" customHeight="false" outlineLevel="0" collapsed="false">
      <c r="A466" s="70" t="n">
        <v>46306</v>
      </c>
      <c r="B466" s="64" t="s">
        <v>23</v>
      </c>
      <c r="C466" s="64" t="s">
        <v>88</v>
      </c>
      <c r="D466" s="64" t="s">
        <v>6</v>
      </c>
      <c r="E466" s="64" t="s">
        <v>85</v>
      </c>
      <c r="F466" s="71" t="n">
        <f aca="false">Menu!D259</f>
        <v>50</v>
      </c>
      <c r="G466" s="64" t="s">
        <v>15</v>
      </c>
      <c r="H466" s="66" t="n">
        <f aca="false">F466/INDEX(Valeurs!$B$2:$B$40,MATCH(E466,Valeurs!$A$2:$A$40,0))*INDEX(Valeurs!$D$2:$D$40,MATCH(E466,Valeurs!$A$2:$A$40,0))</f>
        <v>140</v>
      </c>
      <c r="I466" s="72" t="n">
        <f aca="false">F466/INDEX(Valeurs!$B$2:$B$40,MATCH(E466,Valeurs!$A$2:$A$40,0))*INDEX(Valeurs!$E$2:$E$40,MATCH(E466,Valeurs!$A$2:$A$40,0))</f>
        <v>10.5</v>
      </c>
      <c r="J466" s="64" t="n">
        <v>2</v>
      </c>
    </row>
    <row r="467" customFormat="false" ht="15" hidden="false" customHeight="false" outlineLevel="0" collapsed="false">
      <c r="A467" s="70" t="n">
        <v>46306</v>
      </c>
      <c r="B467" s="64" t="s">
        <v>23</v>
      </c>
      <c r="C467" s="64" t="s">
        <v>88</v>
      </c>
      <c r="D467" s="64" t="s">
        <v>7</v>
      </c>
      <c r="E467" s="64" t="s">
        <v>85</v>
      </c>
      <c r="F467" s="71" t="n">
        <f aca="false">Menu!E259</f>
        <v>35</v>
      </c>
      <c r="G467" s="64" t="s">
        <v>15</v>
      </c>
      <c r="H467" s="66" t="n">
        <f aca="false">F467/INDEX(Valeurs!$B$2:$B$40,MATCH(E467,Valeurs!$A$2:$A$40,0))*INDEX(Valeurs!$D$2:$D$40,MATCH(E467,Valeurs!$A$2:$A$40,0))</f>
        <v>98</v>
      </c>
      <c r="I467" s="72" t="n">
        <f aca="false">F467/INDEX(Valeurs!$B$2:$B$40,MATCH(E467,Valeurs!$A$2:$A$40,0))*INDEX(Valeurs!$E$2:$E$40,MATCH(E467,Valeurs!$A$2:$A$40,0))</f>
        <v>7.35</v>
      </c>
      <c r="J467" s="64" t="n">
        <v>2</v>
      </c>
    </row>
    <row r="468" customFormat="false" ht="15" hidden="false" customHeight="false" outlineLevel="0" collapsed="false">
      <c r="A468" s="70" t="n">
        <v>46306</v>
      </c>
      <c r="B468" s="64" t="s">
        <v>23</v>
      </c>
      <c r="C468" s="64" t="s">
        <v>88</v>
      </c>
      <c r="D468" s="64" t="s">
        <v>6</v>
      </c>
      <c r="E468" s="64" t="s">
        <v>20</v>
      </c>
      <c r="F468" s="71" t="n">
        <f aca="false">Menu!D260</f>
        <v>160</v>
      </c>
      <c r="G468" s="64" t="s">
        <v>15</v>
      </c>
      <c r="H468" s="66" t="n">
        <f aca="false">F468/INDEX(Valeurs!$B$2:$B$40,MATCH(E468,Valeurs!$A$2:$A$40,0))*INDEX(Valeurs!$D$2:$D$40,MATCH(E468,Valeurs!$A$2:$A$40,0))</f>
        <v>28.8</v>
      </c>
      <c r="I468" s="72" t="n">
        <f aca="false">F468/INDEX(Valeurs!$B$2:$B$40,MATCH(E468,Valeurs!$A$2:$A$40,0))*INDEX(Valeurs!$E$2:$E$40,MATCH(E468,Valeurs!$A$2:$A$40,0))</f>
        <v>1.44</v>
      </c>
      <c r="J468" s="64" t="n">
        <v>2</v>
      </c>
    </row>
    <row r="469" customFormat="false" ht="15" hidden="false" customHeight="false" outlineLevel="0" collapsed="false">
      <c r="A469" s="70" t="n">
        <v>46306</v>
      </c>
      <c r="B469" s="64" t="s">
        <v>23</v>
      </c>
      <c r="C469" s="64" t="s">
        <v>88</v>
      </c>
      <c r="D469" s="64" t="s">
        <v>7</v>
      </c>
      <c r="E469" s="64" t="s">
        <v>20</v>
      </c>
      <c r="F469" s="71" t="n">
        <f aca="false">Menu!E260</f>
        <v>180</v>
      </c>
      <c r="G469" s="64" t="s">
        <v>15</v>
      </c>
      <c r="H469" s="66" t="n">
        <f aca="false">F469/INDEX(Valeurs!$B$2:$B$40,MATCH(E469,Valeurs!$A$2:$A$40,0))*INDEX(Valeurs!$D$2:$D$40,MATCH(E469,Valeurs!$A$2:$A$40,0))</f>
        <v>32.4</v>
      </c>
      <c r="I469" s="72" t="n">
        <f aca="false">F469/INDEX(Valeurs!$B$2:$B$40,MATCH(E469,Valeurs!$A$2:$A$40,0))*INDEX(Valeurs!$E$2:$E$40,MATCH(E469,Valeurs!$A$2:$A$40,0))</f>
        <v>1.62</v>
      </c>
      <c r="J469" s="64" t="n">
        <v>2</v>
      </c>
    </row>
    <row r="470" customFormat="false" ht="15" hidden="false" customHeight="false" outlineLevel="0" collapsed="false">
      <c r="A470" s="70" t="n">
        <v>46306</v>
      </c>
      <c r="B470" s="64" t="s">
        <v>23</v>
      </c>
      <c r="C470" s="64" t="s">
        <v>88</v>
      </c>
      <c r="D470" s="64" t="s">
        <v>6</v>
      </c>
      <c r="E470" s="64" t="s">
        <v>34</v>
      </c>
      <c r="F470" s="71" t="n">
        <f aca="false">Menu!D261</f>
        <v>50</v>
      </c>
      <c r="G470" s="64" t="s">
        <v>15</v>
      </c>
      <c r="H470" s="66" t="n">
        <f aca="false">F470/INDEX(Valeurs!$B$2:$B$40,MATCH(E470,Valeurs!$A$2:$A$40,0))*INDEX(Valeurs!$D$2:$D$40,MATCH(E470,Valeurs!$A$2:$A$40,0))</f>
        <v>13.5</v>
      </c>
      <c r="I470" s="72" t="n">
        <f aca="false">F470/INDEX(Valeurs!$B$2:$B$40,MATCH(E470,Valeurs!$A$2:$A$40,0))*INDEX(Valeurs!$E$2:$E$40,MATCH(E470,Valeurs!$A$2:$A$40,0))</f>
        <v>0.5</v>
      </c>
      <c r="J470" s="64" t="n">
        <v>2</v>
      </c>
    </row>
    <row r="471" customFormat="false" ht="15" hidden="false" customHeight="false" outlineLevel="0" collapsed="false">
      <c r="A471" s="70" t="n">
        <v>46306</v>
      </c>
      <c r="B471" s="64" t="s">
        <v>23</v>
      </c>
      <c r="C471" s="64" t="s">
        <v>88</v>
      </c>
      <c r="D471" s="64" t="s">
        <v>7</v>
      </c>
      <c r="E471" s="64" t="s">
        <v>34</v>
      </c>
      <c r="F471" s="71" t="n">
        <f aca="false">Menu!E261</f>
        <v>60</v>
      </c>
      <c r="G471" s="64" t="s">
        <v>15</v>
      </c>
      <c r="H471" s="66" t="n">
        <f aca="false">F471/INDEX(Valeurs!$B$2:$B$40,MATCH(E471,Valeurs!$A$2:$A$40,0))*INDEX(Valeurs!$D$2:$D$40,MATCH(E471,Valeurs!$A$2:$A$40,0))</f>
        <v>16.2</v>
      </c>
      <c r="I471" s="72" t="n">
        <f aca="false">F471/INDEX(Valeurs!$B$2:$B$40,MATCH(E471,Valeurs!$A$2:$A$40,0))*INDEX(Valeurs!$E$2:$E$40,MATCH(E471,Valeurs!$A$2:$A$40,0))</f>
        <v>0.6</v>
      </c>
      <c r="J471" s="64" t="n">
        <v>2</v>
      </c>
    </row>
    <row r="472" customFormat="false" ht="15" hidden="false" customHeight="false" outlineLevel="0" collapsed="false">
      <c r="A472" s="70" t="n">
        <v>46306</v>
      </c>
      <c r="B472" s="64" t="s">
        <v>23</v>
      </c>
      <c r="C472" s="64" t="s">
        <v>88</v>
      </c>
      <c r="D472" s="64" t="s">
        <v>6</v>
      </c>
      <c r="E472" s="64" t="s">
        <v>67</v>
      </c>
      <c r="F472" s="71" t="n">
        <f aca="false">Menu!D262</f>
        <v>50</v>
      </c>
      <c r="G472" s="64" t="s">
        <v>15</v>
      </c>
      <c r="H472" s="66" t="n">
        <f aca="false">F472/INDEX(Valeurs!$B$2:$B$40,MATCH(E472,Valeurs!$A$2:$A$40,0))*INDEX(Valeurs!$D$2:$D$40,MATCH(E472,Valeurs!$A$2:$A$40,0))</f>
        <v>11</v>
      </c>
      <c r="I472" s="72" t="n">
        <f aca="false">F472/INDEX(Valeurs!$B$2:$B$40,MATCH(E472,Valeurs!$A$2:$A$40,0))*INDEX(Valeurs!$E$2:$E$40,MATCH(E472,Valeurs!$A$2:$A$40,0))</f>
        <v>1.55</v>
      </c>
      <c r="J472" s="64" t="n">
        <v>2</v>
      </c>
    </row>
    <row r="473" customFormat="false" ht="15" hidden="false" customHeight="false" outlineLevel="0" collapsed="false">
      <c r="A473" s="70" t="n">
        <v>46306</v>
      </c>
      <c r="B473" s="64" t="s">
        <v>23</v>
      </c>
      <c r="C473" s="64" t="s">
        <v>88</v>
      </c>
      <c r="D473" s="64" t="s">
        <v>7</v>
      </c>
      <c r="E473" s="64" t="s">
        <v>67</v>
      </c>
      <c r="F473" s="71" t="n">
        <f aca="false">Menu!E262</f>
        <v>50</v>
      </c>
      <c r="G473" s="64" t="s">
        <v>15</v>
      </c>
      <c r="H473" s="66" t="n">
        <f aca="false">F473/INDEX(Valeurs!$B$2:$B$40,MATCH(E473,Valeurs!$A$2:$A$40,0))*INDEX(Valeurs!$D$2:$D$40,MATCH(E473,Valeurs!$A$2:$A$40,0))</f>
        <v>11</v>
      </c>
      <c r="I473" s="72" t="n">
        <f aca="false">F473/INDEX(Valeurs!$B$2:$B$40,MATCH(E473,Valeurs!$A$2:$A$40,0))*INDEX(Valeurs!$E$2:$E$40,MATCH(E473,Valeurs!$A$2:$A$40,0))</f>
        <v>1.55</v>
      </c>
      <c r="J473" s="64" t="n">
        <v>2</v>
      </c>
    </row>
    <row r="474" customFormat="false" ht="15" hidden="false" customHeight="false" outlineLevel="0" collapsed="false">
      <c r="A474" s="70" t="n">
        <v>46306</v>
      </c>
      <c r="B474" s="64" t="s">
        <v>23</v>
      </c>
      <c r="C474" s="64" t="s">
        <v>88</v>
      </c>
      <c r="D474" s="64" t="s">
        <v>6</v>
      </c>
      <c r="E474" s="64" t="s">
        <v>35</v>
      </c>
      <c r="F474" s="71" t="n">
        <f aca="false">Menu!D263</f>
        <v>20</v>
      </c>
      <c r="G474" s="64" t="s">
        <v>15</v>
      </c>
      <c r="H474" s="66" t="n">
        <f aca="false">F474/INDEX(Valeurs!$B$2:$B$40,MATCH(E474,Valeurs!$A$2:$A$40,0))*INDEX(Valeurs!$D$2:$D$40,MATCH(E474,Valeurs!$A$2:$A$40,0))</f>
        <v>8</v>
      </c>
      <c r="I474" s="72" t="n">
        <f aca="false">F474/INDEX(Valeurs!$B$2:$B$40,MATCH(E474,Valeurs!$A$2:$A$40,0))*INDEX(Valeurs!$E$2:$E$40,MATCH(E474,Valeurs!$A$2:$A$40,0))</f>
        <v>0.22</v>
      </c>
      <c r="J474" s="64" t="n">
        <v>2</v>
      </c>
    </row>
    <row r="475" customFormat="false" ht="15" hidden="false" customHeight="false" outlineLevel="0" collapsed="false">
      <c r="A475" s="70" t="n">
        <v>46306</v>
      </c>
      <c r="B475" s="64" t="s">
        <v>23</v>
      </c>
      <c r="C475" s="64" t="s">
        <v>88</v>
      </c>
      <c r="D475" s="64" t="s">
        <v>7</v>
      </c>
      <c r="E475" s="64" t="s">
        <v>35</v>
      </c>
      <c r="F475" s="71" t="n">
        <f aca="false">Menu!E263</f>
        <v>20</v>
      </c>
      <c r="G475" s="64" t="s">
        <v>15</v>
      </c>
      <c r="H475" s="66" t="n">
        <f aca="false">F475/INDEX(Valeurs!$B$2:$B$40,MATCH(E475,Valeurs!$A$2:$A$40,0))*INDEX(Valeurs!$D$2:$D$40,MATCH(E475,Valeurs!$A$2:$A$40,0))</f>
        <v>8</v>
      </c>
      <c r="I475" s="72" t="n">
        <f aca="false">F475/INDEX(Valeurs!$B$2:$B$40,MATCH(E475,Valeurs!$A$2:$A$40,0))*INDEX(Valeurs!$E$2:$E$40,MATCH(E475,Valeurs!$A$2:$A$40,0))</f>
        <v>0.22</v>
      </c>
      <c r="J475" s="64" t="n">
        <v>2</v>
      </c>
    </row>
    <row r="476" customFormat="false" ht="15" hidden="false" customHeight="false" outlineLevel="0" collapsed="false">
      <c r="A476" s="70" t="n">
        <v>46306</v>
      </c>
      <c r="B476" s="64" t="s">
        <v>23</v>
      </c>
      <c r="C476" s="64" t="s">
        <v>88</v>
      </c>
      <c r="D476" s="64" t="s">
        <v>6</v>
      </c>
      <c r="E476" s="64" t="s">
        <v>46</v>
      </c>
      <c r="F476" s="71" t="n">
        <f aca="false">Menu!D264</f>
        <v>30</v>
      </c>
      <c r="G476" s="64" t="s">
        <v>15</v>
      </c>
      <c r="H476" s="66" t="n">
        <f aca="false">F476/INDEX(Valeurs!$B$2:$B$40,MATCH(E476,Valeurs!$A$2:$A$40,0))*INDEX(Valeurs!$D$2:$D$40,MATCH(E476,Valeurs!$A$2:$A$40,0))</f>
        <v>4.5</v>
      </c>
      <c r="I476" s="72" t="n">
        <f aca="false">F476/INDEX(Valeurs!$B$2:$B$40,MATCH(E476,Valeurs!$A$2:$A$40,0))*INDEX(Valeurs!$E$2:$E$40,MATCH(E476,Valeurs!$A$2:$A$40,0))</f>
        <v>0.42</v>
      </c>
      <c r="J476" s="64" t="n">
        <v>2</v>
      </c>
    </row>
    <row r="477" customFormat="false" ht="15" hidden="false" customHeight="false" outlineLevel="0" collapsed="false">
      <c r="A477" s="70" t="n">
        <v>46306</v>
      </c>
      <c r="B477" s="64" t="s">
        <v>23</v>
      </c>
      <c r="C477" s="64" t="s">
        <v>88</v>
      </c>
      <c r="D477" s="64" t="s">
        <v>7</v>
      </c>
      <c r="E477" s="64" t="s">
        <v>46</v>
      </c>
      <c r="F477" s="71" t="n">
        <f aca="false">Menu!E264</f>
        <v>50</v>
      </c>
      <c r="G477" s="64" t="s">
        <v>15</v>
      </c>
      <c r="H477" s="66" t="n">
        <f aca="false">F477/INDEX(Valeurs!$B$2:$B$40,MATCH(E477,Valeurs!$A$2:$A$40,0))*INDEX(Valeurs!$D$2:$D$40,MATCH(E477,Valeurs!$A$2:$A$40,0))</f>
        <v>7.5</v>
      </c>
      <c r="I477" s="72" t="n">
        <f aca="false">F477/INDEX(Valeurs!$B$2:$B$40,MATCH(E477,Valeurs!$A$2:$A$40,0))*INDEX(Valeurs!$E$2:$E$40,MATCH(E477,Valeurs!$A$2:$A$40,0))</f>
        <v>0.7</v>
      </c>
      <c r="J477" s="64" t="n">
        <v>2</v>
      </c>
    </row>
    <row r="478" customFormat="false" ht="15" hidden="false" customHeight="false" outlineLevel="0" collapsed="false">
      <c r="A478" s="70" t="n">
        <v>46306</v>
      </c>
      <c r="B478" s="64" t="s">
        <v>29</v>
      </c>
      <c r="C478" s="64" t="s">
        <v>56</v>
      </c>
      <c r="D478" s="64" t="s">
        <v>6</v>
      </c>
      <c r="E478" s="64" t="s">
        <v>25</v>
      </c>
      <c r="F478" s="71" t="n">
        <f aca="false">Menu!D265</f>
        <v>130</v>
      </c>
      <c r="G478" s="64" t="s">
        <v>15</v>
      </c>
      <c r="H478" s="66" t="n">
        <f aca="false">F478/INDEX(Valeurs!$B$2:$B$40,MATCH(E478,Valeurs!$A$2:$A$40,0))*INDEX(Valeurs!$D$2:$D$40,MATCH(E478,Valeurs!$A$2:$A$40,0))</f>
        <v>149.5</v>
      </c>
      <c r="I478" s="72" t="n">
        <f aca="false">F478/INDEX(Valeurs!$B$2:$B$40,MATCH(E478,Valeurs!$A$2:$A$40,0))*INDEX(Valeurs!$E$2:$E$40,MATCH(E478,Valeurs!$A$2:$A$40,0))</f>
        <v>29.9</v>
      </c>
      <c r="J478" s="64" t="n">
        <v>2</v>
      </c>
    </row>
    <row r="479" customFormat="false" ht="15" hidden="false" customHeight="false" outlineLevel="0" collapsed="false">
      <c r="A479" s="70" t="n">
        <v>46306</v>
      </c>
      <c r="B479" s="64" t="s">
        <v>29</v>
      </c>
      <c r="C479" s="64" t="s">
        <v>56</v>
      </c>
      <c r="D479" s="64" t="s">
        <v>7</v>
      </c>
      <c r="E479" s="64" t="s">
        <v>25</v>
      </c>
      <c r="F479" s="71" t="n">
        <f aca="false">Menu!E265</f>
        <v>100</v>
      </c>
      <c r="G479" s="64" t="s">
        <v>15</v>
      </c>
      <c r="H479" s="66" t="n">
        <f aca="false">F479/INDEX(Valeurs!$B$2:$B$40,MATCH(E479,Valeurs!$A$2:$A$40,0))*INDEX(Valeurs!$D$2:$D$40,MATCH(E479,Valeurs!$A$2:$A$40,0))</f>
        <v>115</v>
      </c>
      <c r="I479" s="72" t="n">
        <f aca="false">F479/INDEX(Valeurs!$B$2:$B$40,MATCH(E479,Valeurs!$A$2:$A$40,0))*INDEX(Valeurs!$E$2:$E$40,MATCH(E479,Valeurs!$A$2:$A$40,0))</f>
        <v>23</v>
      </c>
      <c r="J479" s="64" t="n">
        <v>2</v>
      </c>
    </row>
    <row r="480" customFormat="false" ht="15" hidden="false" customHeight="false" outlineLevel="0" collapsed="false">
      <c r="A480" s="70" t="n">
        <v>46306</v>
      </c>
      <c r="B480" s="64" t="s">
        <v>29</v>
      </c>
      <c r="C480" s="64" t="s">
        <v>56</v>
      </c>
      <c r="D480" s="64" t="s">
        <v>6</v>
      </c>
      <c r="E480" s="64" t="s">
        <v>57</v>
      </c>
      <c r="F480" s="71" t="n">
        <f aca="false">Menu!D266</f>
        <v>80</v>
      </c>
      <c r="G480" s="64" t="s">
        <v>15</v>
      </c>
      <c r="H480" s="66" t="n">
        <f aca="false">F480/INDEX(Valeurs!$B$2:$B$40,MATCH(E480,Valeurs!$A$2:$A$40,0))*INDEX(Valeurs!$D$2:$D$40,MATCH(E480,Valeurs!$A$2:$A$40,0))</f>
        <v>128</v>
      </c>
      <c r="I480" s="72" t="n">
        <f aca="false">F480/INDEX(Valeurs!$B$2:$B$40,MATCH(E480,Valeurs!$A$2:$A$40,0))*INDEX(Valeurs!$E$2:$E$40,MATCH(E480,Valeurs!$A$2:$A$40,0))</f>
        <v>1.6</v>
      </c>
      <c r="J480" s="64" t="n">
        <v>2</v>
      </c>
    </row>
    <row r="481" customFormat="false" ht="15" hidden="false" customHeight="false" outlineLevel="0" collapsed="false">
      <c r="A481" s="70" t="n">
        <v>46306</v>
      </c>
      <c r="B481" s="64" t="s">
        <v>29</v>
      </c>
      <c r="C481" s="64" t="s">
        <v>56</v>
      </c>
      <c r="D481" s="64" t="s">
        <v>7</v>
      </c>
      <c r="E481" s="64" t="s">
        <v>57</v>
      </c>
      <c r="F481" s="71" t="n">
        <f aca="false">Menu!E266</f>
        <v>60</v>
      </c>
      <c r="G481" s="64" t="s">
        <v>15</v>
      </c>
      <c r="H481" s="66" t="n">
        <f aca="false">F481/INDEX(Valeurs!$B$2:$B$40,MATCH(E481,Valeurs!$A$2:$A$40,0))*INDEX(Valeurs!$D$2:$D$40,MATCH(E481,Valeurs!$A$2:$A$40,0))</f>
        <v>96</v>
      </c>
      <c r="I481" s="72" t="n">
        <f aca="false">F481/INDEX(Valeurs!$B$2:$B$40,MATCH(E481,Valeurs!$A$2:$A$40,0))*INDEX(Valeurs!$E$2:$E$40,MATCH(E481,Valeurs!$A$2:$A$40,0))</f>
        <v>1.2</v>
      </c>
      <c r="J481" s="64" t="n">
        <v>2</v>
      </c>
    </row>
    <row r="482" customFormat="false" ht="15" hidden="false" customHeight="false" outlineLevel="0" collapsed="false">
      <c r="A482" s="70" t="n">
        <v>46306</v>
      </c>
      <c r="B482" s="64" t="s">
        <v>29</v>
      </c>
      <c r="C482" s="64" t="s">
        <v>56</v>
      </c>
      <c r="D482" s="64" t="s">
        <v>6</v>
      </c>
      <c r="E482" s="64" t="s">
        <v>20</v>
      </c>
      <c r="F482" s="71" t="n">
        <f aca="false">Menu!D267</f>
        <v>120</v>
      </c>
      <c r="G482" s="64" t="s">
        <v>15</v>
      </c>
      <c r="H482" s="66" t="n">
        <f aca="false">F482/INDEX(Valeurs!$B$2:$B$40,MATCH(E482,Valeurs!$A$2:$A$40,0))*INDEX(Valeurs!$D$2:$D$40,MATCH(E482,Valeurs!$A$2:$A$40,0))</f>
        <v>21.6</v>
      </c>
      <c r="I482" s="72" t="n">
        <f aca="false">F482/INDEX(Valeurs!$B$2:$B$40,MATCH(E482,Valeurs!$A$2:$A$40,0))*INDEX(Valeurs!$E$2:$E$40,MATCH(E482,Valeurs!$A$2:$A$40,0))</f>
        <v>1.08</v>
      </c>
      <c r="J482" s="64" t="n">
        <v>2</v>
      </c>
    </row>
    <row r="483" customFormat="false" ht="15" hidden="false" customHeight="false" outlineLevel="0" collapsed="false">
      <c r="A483" s="70" t="n">
        <v>46306</v>
      </c>
      <c r="B483" s="64" t="s">
        <v>29</v>
      </c>
      <c r="C483" s="64" t="s">
        <v>56</v>
      </c>
      <c r="D483" s="64" t="s">
        <v>7</v>
      </c>
      <c r="E483" s="64" t="s">
        <v>20</v>
      </c>
      <c r="F483" s="71" t="n">
        <f aca="false">Menu!E267</f>
        <v>150</v>
      </c>
      <c r="G483" s="64" t="s">
        <v>15</v>
      </c>
      <c r="H483" s="66" t="n">
        <f aca="false">F483/INDEX(Valeurs!$B$2:$B$40,MATCH(E483,Valeurs!$A$2:$A$40,0))*INDEX(Valeurs!$D$2:$D$40,MATCH(E483,Valeurs!$A$2:$A$40,0))</f>
        <v>27</v>
      </c>
      <c r="I483" s="72" t="n">
        <f aca="false">F483/INDEX(Valeurs!$B$2:$B$40,MATCH(E483,Valeurs!$A$2:$A$40,0))*INDEX(Valeurs!$E$2:$E$40,MATCH(E483,Valeurs!$A$2:$A$40,0))</f>
        <v>1.35</v>
      </c>
      <c r="J483" s="64" t="n">
        <v>2</v>
      </c>
    </row>
    <row r="484" customFormat="false" ht="15" hidden="false" customHeight="false" outlineLevel="0" collapsed="false">
      <c r="A484" s="70" t="n">
        <v>46306</v>
      </c>
      <c r="B484" s="64" t="s">
        <v>29</v>
      </c>
      <c r="C484" s="64" t="s">
        <v>56</v>
      </c>
      <c r="D484" s="64" t="s">
        <v>6</v>
      </c>
      <c r="E484" s="64" t="s">
        <v>58</v>
      </c>
      <c r="F484" s="71" t="n">
        <f aca="false">Menu!D268</f>
        <v>40</v>
      </c>
      <c r="G484" s="64" t="s">
        <v>15</v>
      </c>
      <c r="H484" s="66" t="n">
        <f aca="false">F484/INDEX(Valeurs!$B$2:$B$40,MATCH(E484,Valeurs!$A$2:$A$40,0))*INDEX(Valeurs!$D$2:$D$40,MATCH(E484,Valeurs!$A$2:$A$40,0))</f>
        <v>32</v>
      </c>
      <c r="I484" s="72" t="n">
        <f aca="false">F484/INDEX(Valeurs!$B$2:$B$40,MATCH(E484,Valeurs!$A$2:$A$40,0))*INDEX(Valeurs!$E$2:$E$40,MATCH(E484,Valeurs!$A$2:$A$40,0))</f>
        <v>1.16</v>
      </c>
      <c r="J484" s="64" t="n">
        <v>2</v>
      </c>
    </row>
    <row r="485" customFormat="false" ht="15" hidden="false" customHeight="false" outlineLevel="0" collapsed="false">
      <c r="A485" s="70" t="n">
        <v>46306</v>
      </c>
      <c r="B485" s="64" t="s">
        <v>29</v>
      </c>
      <c r="C485" s="64" t="s">
        <v>56</v>
      </c>
      <c r="D485" s="64" t="s">
        <v>7</v>
      </c>
      <c r="E485" s="64" t="s">
        <v>58</v>
      </c>
      <c r="F485" s="71" t="n">
        <f aca="false">Menu!E268</f>
        <v>30</v>
      </c>
      <c r="G485" s="64" t="s">
        <v>15</v>
      </c>
      <c r="H485" s="66" t="n">
        <f aca="false">F485/INDEX(Valeurs!$B$2:$B$40,MATCH(E485,Valeurs!$A$2:$A$40,0))*INDEX(Valeurs!$D$2:$D$40,MATCH(E485,Valeurs!$A$2:$A$40,0))</f>
        <v>24</v>
      </c>
      <c r="I485" s="72" t="n">
        <f aca="false">F485/INDEX(Valeurs!$B$2:$B$40,MATCH(E485,Valeurs!$A$2:$A$40,0))*INDEX(Valeurs!$E$2:$E$40,MATCH(E485,Valeurs!$A$2:$A$40,0))</f>
        <v>0.87</v>
      </c>
      <c r="J485" s="64" t="n">
        <v>2</v>
      </c>
    </row>
    <row r="486" customFormat="false" ht="15" hidden="false" customHeight="false" outlineLevel="0" collapsed="false">
      <c r="A486" s="70" t="n">
        <v>46306</v>
      </c>
      <c r="B486" s="64" t="s">
        <v>29</v>
      </c>
      <c r="C486" s="64" t="s">
        <v>56</v>
      </c>
      <c r="D486" s="64" t="s">
        <v>6</v>
      </c>
      <c r="E486" s="64" t="s">
        <v>44</v>
      </c>
      <c r="F486" s="71" t="n">
        <f aca="false">Menu!D269</f>
        <v>60</v>
      </c>
      <c r="G486" s="64" t="s">
        <v>15</v>
      </c>
      <c r="H486" s="66" t="n">
        <f aca="false">F486/INDEX(Valeurs!$B$2:$B$40,MATCH(E486,Valeurs!$A$2:$A$40,0))*INDEX(Valeurs!$D$2:$D$40,MATCH(E486,Valeurs!$A$2:$A$40,0))</f>
        <v>24.6</v>
      </c>
      <c r="I486" s="72" t="n">
        <f aca="false">F486/INDEX(Valeurs!$B$2:$B$40,MATCH(E486,Valeurs!$A$2:$A$40,0))*INDEX(Valeurs!$E$2:$E$40,MATCH(E486,Valeurs!$A$2:$A$40,0))</f>
        <v>0.54</v>
      </c>
      <c r="J486" s="64" t="n">
        <v>2</v>
      </c>
    </row>
    <row r="487" customFormat="false" ht="15" hidden="false" customHeight="false" outlineLevel="0" collapsed="false">
      <c r="A487" s="70" t="n">
        <v>46306</v>
      </c>
      <c r="B487" s="64" t="s">
        <v>29</v>
      </c>
      <c r="C487" s="64" t="s">
        <v>56</v>
      </c>
      <c r="D487" s="64" t="s">
        <v>7</v>
      </c>
      <c r="E487" s="64" t="s">
        <v>44</v>
      </c>
      <c r="F487" s="71" t="n">
        <f aca="false">Menu!E269</f>
        <v>80</v>
      </c>
      <c r="G487" s="64" t="s">
        <v>15</v>
      </c>
      <c r="H487" s="66" t="n">
        <f aca="false">F487/INDEX(Valeurs!$B$2:$B$40,MATCH(E487,Valeurs!$A$2:$A$40,0))*INDEX(Valeurs!$D$2:$D$40,MATCH(E487,Valeurs!$A$2:$A$40,0))</f>
        <v>32.8</v>
      </c>
      <c r="I487" s="72" t="n">
        <f aca="false">F487/INDEX(Valeurs!$B$2:$B$40,MATCH(E487,Valeurs!$A$2:$A$40,0))*INDEX(Valeurs!$E$2:$E$40,MATCH(E487,Valeurs!$A$2:$A$40,0))</f>
        <v>0.72</v>
      </c>
      <c r="J487" s="64" t="n">
        <v>2</v>
      </c>
    </row>
    <row r="488" customFormat="false" ht="15" hidden="false" customHeight="false" outlineLevel="0" collapsed="false">
      <c r="A488" s="70" t="n">
        <v>46306</v>
      </c>
      <c r="B488" s="64" t="s">
        <v>29</v>
      </c>
      <c r="C488" s="64" t="s">
        <v>56</v>
      </c>
      <c r="D488" s="64" t="s">
        <v>6</v>
      </c>
      <c r="E488" s="64" t="s">
        <v>28</v>
      </c>
      <c r="F488" s="71" t="n">
        <f aca="false">Menu!D270</f>
        <v>8</v>
      </c>
      <c r="G488" s="64" t="s">
        <v>15</v>
      </c>
      <c r="H488" s="66" t="n">
        <f aca="false">F488/INDEX(Valeurs!$B$2:$B$40,MATCH(E488,Valeurs!$A$2:$A$40,0))*INDEX(Valeurs!$D$2:$D$40,MATCH(E488,Valeurs!$A$2:$A$40,0))</f>
        <v>72</v>
      </c>
      <c r="I488" s="72" t="n">
        <f aca="false">F488/INDEX(Valeurs!$B$2:$B$40,MATCH(E488,Valeurs!$A$2:$A$40,0))*INDEX(Valeurs!$E$2:$E$40,MATCH(E488,Valeurs!$A$2:$A$40,0))</f>
        <v>0</v>
      </c>
      <c r="J488" s="64" t="n">
        <v>2</v>
      </c>
    </row>
    <row r="489" customFormat="false" ht="15" hidden="false" customHeight="false" outlineLevel="0" collapsed="false">
      <c r="A489" s="70" t="n">
        <v>46306</v>
      </c>
      <c r="B489" s="64" t="s">
        <v>29</v>
      </c>
      <c r="C489" s="64" t="s">
        <v>56</v>
      </c>
      <c r="D489" s="64" t="s">
        <v>7</v>
      </c>
      <c r="E489" s="64" t="s">
        <v>28</v>
      </c>
      <c r="F489" s="71" t="n">
        <f aca="false">Menu!E270</f>
        <v>6</v>
      </c>
      <c r="G489" s="64" t="s">
        <v>15</v>
      </c>
      <c r="H489" s="66" t="n">
        <f aca="false">F489/INDEX(Valeurs!$B$2:$B$40,MATCH(E489,Valeurs!$A$2:$A$40,0))*INDEX(Valeurs!$D$2:$D$40,MATCH(E489,Valeurs!$A$2:$A$40,0))</f>
        <v>54</v>
      </c>
      <c r="I489" s="72" t="n">
        <f aca="false">F489/INDEX(Valeurs!$B$2:$B$40,MATCH(E489,Valeurs!$A$2:$A$40,0))*INDEX(Valeurs!$E$2:$E$40,MATCH(E489,Valeurs!$A$2:$A$40,0))</f>
        <v>0</v>
      </c>
      <c r="J489" s="64" t="n">
        <v>2</v>
      </c>
    </row>
    <row r="490" customFormat="false" ht="15" hidden="false" customHeight="false" outlineLevel="0" collapsed="false">
      <c r="A490" s="70" t="n">
        <v>46306</v>
      </c>
      <c r="B490" s="64" t="s">
        <v>36</v>
      </c>
      <c r="C490" s="64" t="s">
        <v>59</v>
      </c>
      <c r="D490" s="64" t="s">
        <v>6</v>
      </c>
      <c r="E490" s="64" t="s">
        <v>59</v>
      </c>
      <c r="F490" s="71" t="n">
        <f aca="false">Menu!D271</f>
        <v>75</v>
      </c>
      <c r="G490" s="64" t="s">
        <v>15</v>
      </c>
      <c r="H490" s="66" t="n">
        <f aca="false">F490/INDEX(Valeurs!$B$2:$B$40,MATCH(E490,Valeurs!$A$2:$A$40,0))*INDEX(Valeurs!$D$2:$D$40,MATCH(E490,Valeurs!$A$2:$A$40,0))</f>
        <v>150</v>
      </c>
      <c r="I490" s="72" t="n">
        <f aca="false">F490/INDEX(Valeurs!$B$2:$B$40,MATCH(E490,Valeurs!$A$2:$A$40,0))*INDEX(Valeurs!$E$2:$E$40,MATCH(E490,Valeurs!$A$2:$A$40,0))</f>
        <v>2.625</v>
      </c>
      <c r="J490" s="64" t="n">
        <v>2</v>
      </c>
    </row>
    <row r="491" customFormat="false" ht="15" hidden="false" customHeight="false" outlineLevel="0" collapsed="false">
      <c r="A491" s="70" t="n">
        <v>46306</v>
      </c>
      <c r="B491" s="64" t="s">
        <v>36</v>
      </c>
      <c r="C491" s="64" t="s">
        <v>59</v>
      </c>
      <c r="D491" s="64" t="s">
        <v>7</v>
      </c>
      <c r="E491" s="64" t="s">
        <v>59</v>
      </c>
      <c r="F491" s="71" t="n">
        <f aca="false">Menu!E271</f>
        <v>55</v>
      </c>
      <c r="G491" s="64" t="s">
        <v>15</v>
      </c>
      <c r="H491" s="66" t="n">
        <f aca="false">F491/INDEX(Valeurs!$B$2:$B$40,MATCH(E491,Valeurs!$A$2:$A$40,0))*INDEX(Valeurs!$D$2:$D$40,MATCH(E491,Valeurs!$A$2:$A$40,0))</f>
        <v>110</v>
      </c>
      <c r="I491" s="72" t="n">
        <f aca="false">F491/INDEX(Valeurs!$B$2:$B$40,MATCH(E491,Valeurs!$A$2:$A$40,0))*INDEX(Valeurs!$E$2:$E$40,MATCH(E491,Valeurs!$A$2:$A$40,0))</f>
        <v>1.925</v>
      </c>
      <c r="J491" s="64" t="n">
        <v>2</v>
      </c>
    </row>
    <row r="492" customFormat="false" ht="15" hidden="false" customHeight="false" outlineLevel="0" collapsed="false">
      <c r="A492" s="70" t="n">
        <v>46307</v>
      </c>
      <c r="B492" s="64" t="s">
        <v>10</v>
      </c>
      <c r="C492" s="64" t="s">
        <v>11</v>
      </c>
      <c r="D492" s="64" t="s">
        <v>6</v>
      </c>
      <c r="E492" s="64" t="s">
        <v>12</v>
      </c>
      <c r="F492" s="71" t="n">
        <f aca="false">Menu!D274</f>
        <v>250</v>
      </c>
      <c r="G492" s="64" t="s">
        <v>13</v>
      </c>
      <c r="H492" s="66" t="n">
        <f aca="false">F492/INDEX(Valeurs!$B$2:$B$40,MATCH(E492,Valeurs!$A$2:$A$40,0))*INDEX(Valeurs!$D$2:$D$40,MATCH(E492,Valeurs!$A$2:$A$40,0))</f>
        <v>115</v>
      </c>
      <c r="I492" s="72" t="n">
        <f aca="false">F492/INDEX(Valeurs!$B$2:$B$40,MATCH(E492,Valeurs!$A$2:$A$40,0))*INDEX(Valeurs!$E$2:$E$40,MATCH(E492,Valeurs!$A$2:$A$40,0))</f>
        <v>8.25</v>
      </c>
      <c r="J492" s="64" t="n">
        <v>2</v>
      </c>
    </row>
    <row r="493" customFormat="false" ht="15" hidden="false" customHeight="false" outlineLevel="0" collapsed="false">
      <c r="A493" s="70" t="n">
        <v>46307</v>
      </c>
      <c r="B493" s="64" t="s">
        <v>10</v>
      </c>
      <c r="C493" s="64" t="s">
        <v>11</v>
      </c>
      <c r="D493" s="64" t="s">
        <v>7</v>
      </c>
      <c r="E493" s="64" t="s">
        <v>12</v>
      </c>
      <c r="F493" s="71" t="n">
        <f aca="false">Menu!E274</f>
        <v>0</v>
      </c>
      <c r="G493" s="64" t="s">
        <v>13</v>
      </c>
      <c r="H493" s="66" t="n">
        <f aca="false">F493/INDEX(Valeurs!$B$2:$B$40,MATCH(E493,Valeurs!$A$2:$A$40,0))*INDEX(Valeurs!$D$2:$D$40,MATCH(E493,Valeurs!$A$2:$A$40,0))</f>
        <v>0</v>
      </c>
      <c r="I493" s="72" t="n">
        <f aca="false">F493/INDEX(Valeurs!$B$2:$B$40,MATCH(E493,Valeurs!$A$2:$A$40,0))*INDEX(Valeurs!$E$2:$E$40,MATCH(E493,Valeurs!$A$2:$A$40,0))</f>
        <v>0</v>
      </c>
      <c r="J493" s="64" t="n">
        <v>2</v>
      </c>
    </row>
    <row r="494" customFormat="false" ht="15" hidden="false" customHeight="false" outlineLevel="0" collapsed="false">
      <c r="A494" s="70" t="n">
        <v>46307</v>
      </c>
      <c r="B494" s="64" t="s">
        <v>10</v>
      </c>
      <c r="C494" s="64" t="s">
        <v>11</v>
      </c>
      <c r="D494" s="64" t="s">
        <v>6</v>
      </c>
      <c r="E494" s="64" t="s">
        <v>14</v>
      </c>
      <c r="F494" s="71" t="n">
        <f aca="false">Menu!D275</f>
        <v>100</v>
      </c>
      <c r="G494" s="64" t="s">
        <v>15</v>
      </c>
      <c r="H494" s="66" t="n">
        <f aca="false">F494/INDEX(Valeurs!$B$2:$B$40,MATCH(E494,Valeurs!$A$2:$A$40,0))*INDEX(Valeurs!$D$2:$D$40,MATCH(E494,Valeurs!$A$2:$A$40,0))</f>
        <v>90</v>
      </c>
      <c r="I494" s="72" t="n">
        <f aca="false">F494/INDEX(Valeurs!$B$2:$B$40,MATCH(E494,Valeurs!$A$2:$A$40,0))*INDEX(Valeurs!$E$2:$E$40,MATCH(E494,Valeurs!$A$2:$A$40,0))</f>
        <v>1.1</v>
      </c>
      <c r="J494" s="64" t="n">
        <v>2</v>
      </c>
    </row>
    <row r="495" customFormat="false" ht="15" hidden="false" customHeight="false" outlineLevel="0" collapsed="false">
      <c r="A495" s="70" t="n">
        <v>46307</v>
      </c>
      <c r="B495" s="64" t="s">
        <v>10</v>
      </c>
      <c r="C495" s="64" t="s">
        <v>11</v>
      </c>
      <c r="D495" s="64" t="s">
        <v>7</v>
      </c>
      <c r="E495" s="64" t="s">
        <v>14</v>
      </c>
      <c r="F495" s="71" t="n">
        <f aca="false">Menu!E275</f>
        <v>0</v>
      </c>
      <c r="G495" s="64" t="s">
        <v>15</v>
      </c>
      <c r="H495" s="66" t="n">
        <f aca="false">F495/INDEX(Valeurs!$B$2:$B$40,MATCH(E495,Valeurs!$A$2:$A$40,0))*INDEX(Valeurs!$D$2:$D$40,MATCH(E495,Valeurs!$A$2:$A$40,0))</f>
        <v>0</v>
      </c>
      <c r="I495" s="72" t="n">
        <f aca="false">F495/INDEX(Valeurs!$B$2:$B$40,MATCH(E495,Valeurs!$A$2:$A$40,0))*INDEX(Valeurs!$E$2:$E$40,MATCH(E495,Valeurs!$A$2:$A$40,0))</f>
        <v>0</v>
      </c>
      <c r="J495" s="64" t="n">
        <v>2</v>
      </c>
    </row>
    <row r="496" customFormat="false" ht="15" hidden="false" customHeight="false" outlineLevel="0" collapsed="false">
      <c r="A496" s="70" t="n">
        <v>46307</v>
      </c>
      <c r="B496" s="64" t="s">
        <v>10</v>
      </c>
      <c r="C496" s="64" t="s">
        <v>11</v>
      </c>
      <c r="D496" s="64" t="s">
        <v>6</v>
      </c>
      <c r="E496" s="64" t="s">
        <v>16</v>
      </c>
      <c r="F496" s="71" t="n">
        <f aca="false">Menu!D276</f>
        <v>65</v>
      </c>
      <c r="G496" s="64" t="s">
        <v>15</v>
      </c>
      <c r="H496" s="66" t="n">
        <f aca="false">F496/INDEX(Valeurs!$B$2:$B$40,MATCH(E496,Valeurs!$A$2:$A$40,0))*INDEX(Valeurs!$D$2:$D$40,MATCH(E496,Valeurs!$A$2:$A$40,0))</f>
        <v>241.8</v>
      </c>
      <c r="I496" s="72" t="n">
        <f aca="false">F496/INDEX(Valeurs!$B$2:$B$40,MATCH(E496,Valeurs!$A$2:$A$40,0))*INDEX(Valeurs!$E$2:$E$40,MATCH(E496,Valeurs!$A$2:$A$40,0))</f>
        <v>8.775</v>
      </c>
      <c r="J496" s="64" t="n">
        <v>2</v>
      </c>
    </row>
    <row r="497" customFormat="false" ht="15" hidden="false" customHeight="false" outlineLevel="0" collapsed="false">
      <c r="A497" s="70" t="n">
        <v>46307</v>
      </c>
      <c r="B497" s="64" t="s">
        <v>10</v>
      </c>
      <c r="C497" s="64" t="s">
        <v>11</v>
      </c>
      <c r="D497" s="64" t="s">
        <v>7</v>
      </c>
      <c r="E497" s="64" t="s">
        <v>16</v>
      </c>
      <c r="F497" s="71" t="n">
        <f aca="false">Menu!E276</f>
        <v>0</v>
      </c>
      <c r="G497" s="64" t="s">
        <v>15</v>
      </c>
      <c r="H497" s="66" t="n">
        <f aca="false">F497/INDEX(Valeurs!$B$2:$B$40,MATCH(E497,Valeurs!$A$2:$A$40,0))*INDEX(Valeurs!$D$2:$D$40,MATCH(E497,Valeurs!$A$2:$A$40,0))</f>
        <v>0</v>
      </c>
      <c r="I497" s="72" t="n">
        <f aca="false">F497/INDEX(Valeurs!$B$2:$B$40,MATCH(E497,Valeurs!$A$2:$A$40,0))*INDEX(Valeurs!$E$2:$E$40,MATCH(E497,Valeurs!$A$2:$A$40,0))</f>
        <v>0</v>
      </c>
      <c r="J497" s="64" t="n">
        <v>2</v>
      </c>
    </row>
    <row r="498" customFormat="false" ht="15" hidden="false" customHeight="false" outlineLevel="0" collapsed="false">
      <c r="A498" s="70" t="n">
        <v>46307</v>
      </c>
      <c r="B498" s="64" t="s">
        <v>10</v>
      </c>
      <c r="C498" s="64" t="s">
        <v>11</v>
      </c>
      <c r="D498" s="64" t="s">
        <v>6</v>
      </c>
      <c r="E498" s="64" t="s">
        <v>17</v>
      </c>
      <c r="F498" s="71" t="n">
        <f aca="false">Menu!D277</f>
        <v>1</v>
      </c>
      <c r="G498" s="64" t="s">
        <v>171</v>
      </c>
      <c r="H498" s="66" t="n">
        <f aca="false">F498/INDEX(Valeurs!$B$2:$B$40,MATCH(E498,Valeurs!$A$2:$A$40,0))*INDEX(Valeurs!$D$2:$D$40,MATCH(E498,Valeurs!$A$2:$A$40,0))</f>
        <v>87</v>
      </c>
      <c r="I498" s="72" t="n">
        <f aca="false">F498/INDEX(Valeurs!$B$2:$B$40,MATCH(E498,Valeurs!$A$2:$A$40,0))*INDEX(Valeurs!$E$2:$E$40,MATCH(E498,Valeurs!$A$2:$A$40,0))</f>
        <v>7.5</v>
      </c>
      <c r="J498" s="64" t="n">
        <v>2</v>
      </c>
    </row>
    <row r="499" customFormat="false" ht="15" hidden="false" customHeight="false" outlineLevel="0" collapsed="false">
      <c r="A499" s="70" t="n">
        <v>46307</v>
      </c>
      <c r="B499" s="64" t="s">
        <v>10</v>
      </c>
      <c r="C499" s="64" t="s">
        <v>11</v>
      </c>
      <c r="D499" s="64" t="s">
        <v>7</v>
      </c>
      <c r="E499" s="64" t="s">
        <v>17</v>
      </c>
      <c r="F499" s="71" t="n">
        <f aca="false">Menu!E277</f>
        <v>2</v>
      </c>
      <c r="G499" s="64" t="s">
        <v>171</v>
      </c>
      <c r="H499" s="66" t="n">
        <f aca="false">F499/INDEX(Valeurs!$B$2:$B$40,MATCH(E499,Valeurs!$A$2:$A$40,0))*INDEX(Valeurs!$D$2:$D$40,MATCH(E499,Valeurs!$A$2:$A$40,0))</f>
        <v>174</v>
      </c>
      <c r="I499" s="72" t="n">
        <f aca="false">F499/INDEX(Valeurs!$B$2:$B$40,MATCH(E499,Valeurs!$A$2:$A$40,0))*INDEX(Valeurs!$E$2:$E$40,MATCH(E499,Valeurs!$A$2:$A$40,0))</f>
        <v>15</v>
      </c>
      <c r="J499" s="64" t="n">
        <v>2</v>
      </c>
    </row>
    <row r="500" customFormat="false" ht="15" hidden="false" customHeight="false" outlineLevel="0" collapsed="false">
      <c r="A500" s="70" t="n">
        <v>46307</v>
      </c>
      <c r="B500" s="64" t="s">
        <v>10</v>
      </c>
      <c r="C500" s="64" t="s">
        <v>11</v>
      </c>
      <c r="D500" s="64" t="s">
        <v>6</v>
      </c>
      <c r="E500" s="64" t="s">
        <v>19</v>
      </c>
      <c r="F500" s="71" t="n">
        <f aca="false">Menu!D278</f>
        <v>0</v>
      </c>
      <c r="G500" s="64" t="s">
        <v>15</v>
      </c>
      <c r="H500" s="66" t="n">
        <f aca="false">F500/INDEX(Valeurs!$B$2:$B$40,MATCH(E500,Valeurs!$A$2:$A$40,0))*INDEX(Valeurs!$D$2:$D$40,MATCH(E500,Valeurs!$A$2:$A$40,0))</f>
        <v>0</v>
      </c>
      <c r="I500" s="72" t="n">
        <f aca="false">F500/INDEX(Valeurs!$B$2:$B$40,MATCH(E500,Valeurs!$A$2:$A$40,0))*INDEX(Valeurs!$E$2:$E$40,MATCH(E500,Valeurs!$A$2:$A$40,0))</f>
        <v>0</v>
      </c>
      <c r="J500" s="64" t="n">
        <v>2</v>
      </c>
    </row>
    <row r="501" customFormat="false" ht="15" hidden="false" customHeight="false" outlineLevel="0" collapsed="false">
      <c r="A501" s="70" t="n">
        <v>46307</v>
      </c>
      <c r="B501" s="64" t="s">
        <v>10</v>
      </c>
      <c r="C501" s="64" t="s">
        <v>11</v>
      </c>
      <c r="D501" s="64" t="s">
        <v>7</v>
      </c>
      <c r="E501" s="64" t="s">
        <v>19</v>
      </c>
      <c r="F501" s="71" t="n">
        <f aca="false">Menu!E278</f>
        <v>30</v>
      </c>
      <c r="G501" s="64" t="s">
        <v>15</v>
      </c>
      <c r="H501" s="66" t="n">
        <f aca="false">F501/INDEX(Valeurs!$B$2:$B$40,MATCH(E501,Valeurs!$A$2:$A$40,0))*INDEX(Valeurs!$D$2:$D$40,MATCH(E501,Valeurs!$A$2:$A$40,0))</f>
        <v>33</v>
      </c>
      <c r="I501" s="72" t="n">
        <f aca="false">F501/INDEX(Valeurs!$B$2:$B$40,MATCH(E501,Valeurs!$A$2:$A$40,0))*INDEX(Valeurs!$E$2:$E$40,MATCH(E501,Valeurs!$A$2:$A$40,0))</f>
        <v>6</v>
      </c>
      <c r="J501" s="64" t="n">
        <v>2</v>
      </c>
    </row>
    <row r="502" customFormat="false" ht="15" hidden="false" customHeight="false" outlineLevel="0" collapsed="false">
      <c r="A502" s="70" t="n">
        <v>46307</v>
      </c>
      <c r="B502" s="64" t="s">
        <v>10</v>
      </c>
      <c r="C502" s="64" t="s">
        <v>11</v>
      </c>
      <c r="D502" s="64" t="s">
        <v>6</v>
      </c>
      <c r="E502" s="64" t="s">
        <v>20</v>
      </c>
      <c r="F502" s="71" t="n">
        <f aca="false">Menu!D279</f>
        <v>0</v>
      </c>
      <c r="G502" s="64" t="s">
        <v>15</v>
      </c>
      <c r="H502" s="66" t="n">
        <f aca="false">F502/INDEX(Valeurs!$B$2:$B$40,MATCH(E502,Valeurs!$A$2:$A$40,0))*INDEX(Valeurs!$D$2:$D$40,MATCH(E502,Valeurs!$A$2:$A$40,0))</f>
        <v>0</v>
      </c>
      <c r="I502" s="72" t="n">
        <f aca="false">F502/INDEX(Valeurs!$B$2:$B$40,MATCH(E502,Valeurs!$A$2:$A$40,0))*INDEX(Valeurs!$E$2:$E$40,MATCH(E502,Valeurs!$A$2:$A$40,0))</f>
        <v>0</v>
      </c>
      <c r="J502" s="64" t="n">
        <v>2</v>
      </c>
    </row>
    <row r="503" customFormat="false" ht="15" hidden="false" customHeight="false" outlineLevel="0" collapsed="false">
      <c r="A503" s="70" t="n">
        <v>46307</v>
      </c>
      <c r="B503" s="64" t="s">
        <v>10</v>
      </c>
      <c r="C503" s="64" t="s">
        <v>11</v>
      </c>
      <c r="D503" s="64" t="s">
        <v>7</v>
      </c>
      <c r="E503" s="64" t="s">
        <v>20</v>
      </c>
      <c r="F503" s="71" t="n">
        <f aca="false">Menu!E279</f>
        <v>80</v>
      </c>
      <c r="G503" s="64" t="s">
        <v>15</v>
      </c>
      <c r="H503" s="66" t="n">
        <f aca="false">F503/INDEX(Valeurs!$B$2:$B$40,MATCH(E503,Valeurs!$A$2:$A$40,0))*INDEX(Valeurs!$D$2:$D$40,MATCH(E503,Valeurs!$A$2:$A$40,0))</f>
        <v>14.4</v>
      </c>
      <c r="I503" s="72" t="n">
        <f aca="false">F503/INDEX(Valeurs!$B$2:$B$40,MATCH(E503,Valeurs!$A$2:$A$40,0))*INDEX(Valeurs!$E$2:$E$40,MATCH(E503,Valeurs!$A$2:$A$40,0))</f>
        <v>0.72</v>
      </c>
      <c r="J503" s="64" t="n">
        <v>2</v>
      </c>
    </row>
    <row r="504" customFormat="false" ht="15" hidden="false" customHeight="false" outlineLevel="0" collapsed="false">
      <c r="A504" s="70" t="n">
        <v>46307</v>
      </c>
      <c r="B504" s="64" t="s">
        <v>10</v>
      </c>
      <c r="C504" s="64" t="s">
        <v>11</v>
      </c>
      <c r="D504" s="64" t="s">
        <v>6</v>
      </c>
      <c r="E504" s="64" t="s">
        <v>21</v>
      </c>
      <c r="F504" s="71" t="n">
        <f aca="false">Menu!D280</f>
        <v>0</v>
      </c>
      <c r="G504" s="64" t="s">
        <v>15</v>
      </c>
      <c r="H504" s="66" t="n">
        <f aca="false">F504/INDEX(Valeurs!$B$2:$B$40,MATCH(E504,Valeurs!$A$2:$A$40,0))*INDEX(Valeurs!$D$2:$D$40,MATCH(E504,Valeurs!$A$2:$A$40,0))</f>
        <v>0</v>
      </c>
      <c r="I504" s="72" t="n">
        <f aca="false">F504/INDEX(Valeurs!$B$2:$B$40,MATCH(E504,Valeurs!$A$2:$A$40,0))*INDEX(Valeurs!$E$2:$E$40,MATCH(E504,Valeurs!$A$2:$A$40,0))</f>
        <v>0</v>
      </c>
      <c r="J504" s="64" t="n">
        <v>2</v>
      </c>
    </row>
    <row r="505" customFormat="false" ht="15" hidden="false" customHeight="false" outlineLevel="0" collapsed="false">
      <c r="A505" s="70" t="n">
        <v>46307</v>
      </c>
      <c r="B505" s="64" t="s">
        <v>10</v>
      </c>
      <c r="C505" s="64" t="s">
        <v>11</v>
      </c>
      <c r="D505" s="64" t="s">
        <v>7</v>
      </c>
      <c r="E505" s="64" t="s">
        <v>21</v>
      </c>
      <c r="F505" s="71" t="n">
        <f aca="false">Menu!E280</f>
        <v>40</v>
      </c>
      <c r="G505" s="64" t="s">
        <v>15</v>
      </c>
      <c r="H505" s="66" t="n">
        <f aca="false">F505/INDEX(Valeurs!$B$2:$B$40,MATCH(E505,Valeurs!$A$2:$A$40,0))*INDEX(Valeurs!$D$2:$D$40,MATCH(E505,Valeurs!$A$2:$A$40,0))</f>
        <v>96</v>
      </c>
      <c r="I505" s="72" t="n">
        <f aca="false">F505/INDEX(Valeurs!$B$2:$B$40,MATCH(E505,Valeurs!$A$2:$A$40,0))*INDEX(Valeurs!$E$2:$E$40,MATCH(E505,Valeurs!$A$2:$A$40,0))</f>
        <v>3.6</v>
      </c>
      <c r="J505" s="64" t="n">
        <v>2</v>
      </c>
    </row>
    <row r="506" customFormat="false" ht="15" hidden="false" customHeight="false" outlineLevel="0" collapsed="false">
      <c r="A506" s="70" t="n">
        <v>46307</v>
      </c>
      <c r="B506" s="64" t="s">
        <v>10</v>
      </c>
      <c r="C506" s="64" t="s">
        <v>11</v>
      </c>
      <c r="D506" s="64" t="s">
        <v>6</v>
      </c>
      <c r="E506" s="64" t="s">
        <v>22</v>
      </c>
      <c r="F506" s="71" t="n">
        <f aca="false">Menu!D281</f>
        <v>0</v>
      </c>
      <c r="G506" s="64" t="s">
        <v>15</v>
      </c>
      <c r="H506" s="66" t="n">
        <f aca="false">F506/INDEX(Valeurs!$B$2:$B$40,MATCH(E506,Valeurs!$A$2:$A$40,0))*INDEX(Valeurs!$D$2:$D$40,MATCH(E506,Valeurs!$A$2:$A$40,0))</f>
        <v>0</v>
      </c>
      <c r="I506" s="72" t="n">
        <f aca="false">F506/INDEX(Valeurs!$B$2:$B$40,MATCH(E506,Valeurs!$A$2:$A$40,0))*INDEX(Valeurs!$E$2:$E$40,MATCH(E506,Valeurs!$A$2:$A$40,0))</f>
        <v>0</v>
      </c>
      <c r="J506" s="64" t="n">
        <v>2</v>
      </c>
    </row>
    <row r="507" customFormat="false" ht="15" hidden="false" customHeight="false" outlineLevel="0" collapsed="false">
      <c r="A507" s="70" t="n">
        <v>46307</v>
      </c>
      <c r="B507" s="64" t="s">
        <v>10</v>
      </c>
      <c r="C507" s="64" t="s">
        <v>11</v>
      </c>
      <c r="D507" s="64" t="s">
        <v>7</v>
      </c>
      <c r="E507" s="64" t="s">
        <v>22</v>
      </c>
      <c r="F507" s="71" t="n">
        <f aca="false">Menu!E281</f>
        <v>150</v>
      </c>
      <c r="G507" s="64" t="s">
        <v>15</v>
      </c>
      <c r="H507" s="66" t="n">
        <f aca="false">F507/INDEX(Valeurs!$B$2:$B$40,MATCH(E507,Valeurs!$A$2:$A$40,0))*INDEX(Valeurs!$D$2:$D$40,MATCH(E507,Valeurs!$A$2:$A$40,0))</f>
        <v>78</v>
      </c>
      <c r="I507" s="72" t="n">
        <f aca="false">F507/INDEX(Valeurs!$B$2:$B$40,MATCH(E507,Valeurs!$A$2:$A$40,0))*INDEX(Valeurs!$E$2:$E$40,MATCH(E507,Valeurs!$A$2:$A$40,0))</f>
        <v>0.45</v>
      </c>
      <c r="J507" s="64" t="n">
        <v>2</v>
      </c>
    </row>
    <row r="508" customFormat="false" ht="15" hidden="false" customHeight="false" outlineLevel="0" collapsed="false">
      <c r="A508" s="70" t="n">
        <v>46307</v>
      </c>
      <c r="B508" s="64" t="s">
        <v>23</v>
      </c>
      <c r="C508" s="64" t="s">
        <v>90</v>
      </c>
      <c r="D508" s="64" t="s">
        <v>6</v>
      </c>
      <c r="E508" s="64" t="s">
        <v>25</v>
      </c>
      <c r="F508" s="71" t="n">
        <f aca="false">Menu!D282</f>
        <v>150</v>
      </c>
      <c r="G508" s="64" t="s">
        <v>15</v>
      </c>
      <c r="H508" s="66" t="n">
        <f aca="false">F508/INDEX(Valeurs!$B$2:$B$40,MATCH(E508,Valeurs!$A$2:$A$40,0))*INDEX(Valeurs!$D$2:$D$40,MATCH(E508,Valeurs!$A$2:$A$40,0))</f>
        <v>172.5</v>
      </c>
      <c r="I508" s="72" t="n">
        <f aca="false">F508/INDEX(Valeurs!$B$2:$B$40,MATCH(E508,Valeurs!$A$2:$A$40,0))*INDEX(Valeurs!$E$2:$E$40,MATCH(E508,Valeurs!$A$2:$A$40,0))</f>
        <v>34.5</v>
      </c>
      <c r="J508" s="64" t="n">
        <v>2</v>
      </c>
    </row>
    <row r="509" customFormat="false" ht="15" hidden="false" customHeight="false" outlineLevel="0" collapsed="false">
      <c r="A509" s="70" t="n">
        <v>46307</v>
      </c>
      <c r="B509" s="64" t="s">
        <v>23</v>
      </c>
      <c r="C509" s="64" t="s">
        <v>90</v>
      </c>
      <c r="D509" s="64" t="s">
        <v>7</v>
      </c>
      <c r="E509" s="64" t="s">
        <v>25</v>
      </c>
      <c r="F509" s="71" t="n">
        <f aca="false">Menu!E282</f>
        <v>120</v>
      </c>
      <c r="G509" s="64" t="s">
        <v>15</v>
      </c>
      <c r="H509" s="66" t="n">
        <f aca="false">F509/INDEX(Valeurs!$B$2:$B$40,MATCH(E509,Valeurs!$A$2:$A$40,0))*INDEX(Valeurs!$D$2:$D$40,MATCH(E509,Valeurs!$A$2:$A$40,0))</f>
        <v>138</v>
      </c>
      <c r="I509" s="72" t="n">
        <f aca="false">F509/INDEX(Valeurs!$B$2:$B$40,MATCH(E509,Valeurs!$A$2:$A$40,0))*INDEX(Valeurs!$E$2:$E$40,MATCH(E509,Valeurs!$A$2:$A$40,0))</f>
        <v>27.6</v>
      </c>
      <c r="J509" s="64" t="n">
        <v>2</v>
      </c>
    </row>
    <row r="510" customFormat="false" ht="15" hidden="false" customHeight="false" outlineLevel="0" collapsed="false">
      <c r="A510" s="70" t="n">
        <v>46307</v>
      </c>
      <c r="B510" s="64" t="s">
        <v>23</v>
      </c>
      <c r="C510" s="64" t="s">
        <v>90</v>
      </c>
      <c r="D510" s="64" t="s">
        <v>6</v>
      </c>
      <c r="E510" s="64" t="s">
        <v>32</v>
      </c>
      <c r="F510" s="71" t="n">
        <f aca="false">Menu!D283</f>
        <v>300</v>
      </c>
      <c r="G510" s="64" t="s">
        <v>15</v>
      </c>
      <c r="H510" s="66" t="n">
        <f aca="false">F510/INDEX(Valeurs!$B$2:$B$40,MATCH(E510,Valeurs!$A$2:$A$40,0))*INDEX(Valeurs!$D$2:$D$40,MATCH(E510,Valeurs!$A$2:$A$40,0))</f>
        <v>258</v>
      </c>
      <c r="I510" s="72" t="n">
        <f aca="false">F510/INDEX(Valeurs!$B$2:$B$40,MATCH(E510,Valeurs!$A$2:$A$40,0))*INDEX(Valeurs!$E$2:$E$40,MATCH(E510,Valeurs!$A$2:$A$40,0))</f>
        <v>4.8</v>
      </c>
      <c r="J510" s="64" t="n">
        <v>2</v>
      </c>
    </row>
    <row r="511" customFormat="false" ht="15" hidden="false" customHeight="false" outlineLevel="0" collapsed="false">
      <c r="A511" s="70" t="n">
        <v>46307</v>
      </c>
      <c r="B511" s="64" t="s">
        <v>23</v>
      </c>
      <c r="C511" s="64" t="s">
        <v>90</v>
      </c>
      <c r="D511" s="64" t="s">
        <v>7</v>
      </c>
      <c r="E511" s="64" t="s">
        <v>32</v>
      </c>
      <c r="F511" s="71" t="n">
        <f aca="false">Menu!E283</f>
        <v>140</v>
      </c>
      <c r="G511" s="64" t="s">
        <v>15</v>
      </c>
      <c r="H511" s="66" t="n">
        <f aca="false">F511/INDEX(Valeurs!$B$2:$B$40,MATCH(E511,Valeurs!$A$2:$A$40,0))*INDEX(Valeurs!$D$2:$D$40,MATCH(E511,Valeurs!$A$2:$A$40,0))</f>
        <v>120.4</v>
      </c>
      <c r="I511" s="72" t="n">
        <f aca="false">F511/INDEX(Valeurs!$B$2:$B$40,MATCH(E511,Valeurs!$A$2:$A$40,0))*INDEX(Valeurs!$E$2:$E$40,MATCH(E511,Valeurs!$A$2:$A$40,0))</f>
        <v>2.24</v>
      </c>
      <c r="J511" s="64" t="n">
        <v>2</v>
      </c>
    </row>
    <row r="512" customFormat="false" ht="15" hidden="false" customHeight="false" outlineLevel="0" collapsed="false">
      <c r="A512" s="70" t="n">
        <v>46307</v>
      </c>
      <c r="B512" s="64" t="s">
        <v>23</v>
      </c>
      <c r="C512" s="64" t="s">
        <v>90</v>
      </c>
      <c r="D512" s="64" t="s">
        <v>6</v>
      </c>
      <c r="E512" s="64" t="s">
        <v>57</v>
      </c>
      <c r="F512" s="71" t="n">
        <f aca="false">Menu!D284</f>
        <v>80</v>
      </c>
      <c r="G512" s="64" t="s">
        <v>15</v>
      </c>
      <c r="H512" s="66" t="n">
        <f aca="false">F512/INDEX(Valeurs!$B$2:$B$40,MATCH(E512,Valeurs!$A$2:$A$40,0))*INDEX(Valeurs!$D$2:$D$40,MATCH(E512,Valeurs!$A$2:$A$40,0))</f>
        <v>128</v>
      </c>
      <c r="I512" s="72" t="n">
        <f aca="false">F512/INDEX(Valeurs!$B$2:$B$40,MATCH(E512,Valeurs!$A$2:$A$40,0))*INDEX(Valeurs!$E$2:$E$40,MATCH(E512,Valeurs!$A$2:$A$40,0))</f>
        <v>1.6</v>
      </c>
      <c r="J512" s="64" t="n">
        <v>2</v>
      </c>
    </row>
    <row r="513" customFormat="false" ht="15" hidden="false" customHeight="false" outlineLevel="0" collapsed="false">
      <c r="A513" s="70" t="n">
        <v>46307</v>
      </c>
      <c r="B513" s="64" t="s">
        <v>23</v>
      </c>
      <c r="C513" s="64" t="s">
        <v>90</v>
      </c>
      <c r="D513" s="64" t="s">
        <v>7</v>
      </c>
      <c r="E513" s="64" t="s">
        <v>57</v>
      </c>
      <c r="F513" s="71" t="n">
        <f aca="false">Menu!E284</f>
        <v>60</v>
      </c>
      <c r="G513" s="64" t="s">
        <v>15</v>
      </c>
      <c r="H513" s="66" t="n">
        <f aca="false">F513/INDEX(Valeurs!$B$2:$B$40,MATCH(E513,Valeurs!$A$2:$A$40,0))*INDEX(Valeurs!$D$2:$D$40,MATCH(E513,Valeurs!$A$2:$A$40,0))</f>
        <v>96</v>
      </c>
      <c r="I513" s="72" t="n">
        <f aca="false">F513/INDEX(Valeurs!$B$2:$B$40,MATCH(E513,Valeurs!$A$2:$A$40,0))*INDEX(Valeurs!$E$2:$E$40,MATCH(E513,Valeurs!$A$2:$A$40,0))</f>
        <v>1.2</v>
      </c>
      <c r="J513" s="64" t="n">
        <v>2</v>
      </c>
    </row>
    <row r="514" customFormat="false" ht="15" hidden="false" customHeight="false" outlineLevel="0" collapsed="false">
      <c r="A514" s="70" t="n">
        <v>46307</v>
      </c>
      <c r="B514" s="64" t="s">
        <v>23</v>
      </c>
      <c r="C514" s="64" t="s">
        <v>90</v>
      </c>
      <c r="D514" s="64" t="s">
        <v>6</v>
      </c>
      <c r="E514" s="64" t="s">
        <v>46</v>
      </c>
      <c r="F514" s="71" t="n">
        <f aca="false">Menu!D285</f>
        <v>40</v>
      </c>
      <c r="G514" s="64" t="s">
        <v>15</v>
      </c>
      <c r="H514" s="66" t="n">
        <f aca="false">F514/INDEX(Valeurs!$B$2:$B$40,MATCH(E514,Valeurs!$A$2:$A$40,0))*INDEX(Valeurs!$D$2:$D$40,MATCH(E514,Valeurs!$A$2:$A$40,0))</f>
        <v>6</v>
      </c>
      <c r="I514" s="72" t="n">
        <f aca="false">F514/INDEX(Valeurs!$B$2:$B$40,MATCH(E514,Valeurs!$A$2:$A$40,0))*INDEX(Valeurs!$E$2:$E$40,MATCH(E514,Valeurs!$A$2:$A$40,0))</f>
        <v>0.56</v>
      </c>
      <c r="J514" s="64" t="n">
        <v>2</v>
      </c>
    </row>
    <row r="515" customFormat="false" ht="15" hidden="false" customHeight="false" outlineLevel="0" collapsed="false">
      <c r="A515" s="70" t="n">
        <v>46307</v>
      </c>
      <c r="B515" s="64" t="s">
        <v>23</v>
      </c>
      <c r="C515" s="64" t="s">
        <v>90</v>
      </c>
      <c r="D515" s="64" t="s">
        <v>7</v>
      </c>
      <c r="E515" s="64" t="s">
        <v>46</v>
      </c>
      <c r="F515" s="71" t="n">
        <f aca="false">Menu!E285</f>
        <v>60</v>
      </c>
      <c r="G515" s="64" t="s">
        <v>15</v>
      </c>
      <c r="H515" s="66" t="n">
        <f aca="false">F515/INDEX(Valeurs!$B$2:$B$40,MATCH(E515,Valeurs!$A$2:$A$40,0))*INDEX(Valeurs!$D$2:$D$40,MATCH(E515,Valeurs!$A$2:$A$40,0))</f>
        <v>9</v>
      </c>
      <c r="I515" s="72" t="n">
        <f aca="false">F515/INDEX(Valeurs!$B$2:$B$40,MATCH(E515,Valeurs!$A$2:$A$40,0))*INDEX(Valeurs!$E$2:$E$40,MATCH(E515,Valeurs!$A$2:$A$40,0))</f>
        <v>0.84</v>
      </c>
      <c r="J515" s="64" t="n">
        <v>2</v>
      </c>
    </row>
    <row r="516" customFormat="false" ht="15" hidden="false" customHeight="false" outlineLevel="0" collapsed="false">
      <c r="A516" s="70" t="n">
        <v>46307</v>
      </c>
      <c r="B516" s="64" t="s">
        <v>23</v>
      </c>
      <c r="C516" s="64" t="s">
        <v>90</v>
      </c>
      <c r="D516" s="64" t="s">
        <v>6</v>
      </c>
      <c r="E516" s="64" t="s">
        <v>20</v>
      </c>
      <c r="F516" s="71" t="n">
        <f aca="false">Menu!D286</f>
        <v>120</v>
      </c>
      <c r="G516" s="64" t="s">
        <v>15</v>
      </c>
      <c r="H516" s="66" t="n">
        <f aca="false">F516/INDEX(Valeurs!$B$2:$B$40,MATCH(E516,Valeurs!$A$2:$A$40,0))*INDEX(Valeurs!$D$2:$D$40,MATCH(E516,Valeurs!$A$2:$A$40,0))</f>
        <v>21.6</v>
      </c>
      <c r="I516" s="72" t="n">
        <f aca="false">F516/INDEX(Valeurs!$B$2:$B$40,MATCH(E516,Valeurs!$A$2:$A$40,0))*INDEX(Valeurs!$E$2:$E$40,MATCH(E516,Valeurs!$A$2:$A$40,0))</f>
        <v>1.08</v>
      </c>
      <c r="J516" s="64" t="n">
        <v>2</v>
      </c>
    </row>
    <row r="517" customFormat="false" ht="15" hidden="false" customHeight="false" outlineLevel="0" collapsed="false">
      <c r="A517" s="70" t="n">
        <v>46307</v>
      </c>
      <c r="B517" s="64" t="s">
        <v>23</v>
      </c>
      <c r="C517" s="64" t="s">
        <v>90</v>
      </c>
      <c r="D517" s="64" t="s">
        <v>7</v>
      </c>
      <c r="E517" s="64" t="s">
        <v>20</v>
      </c>
      <c r="F517" s="71" t="n">
        <f aca="false">Menu!E286</f>
        <v>150</v>
      </c>
      <c r="G517" s="64" t="s">
        <v>15</v>
      </c>
      <c r="H517" s="66" t="n">
        <f aca="false">F517/INDEX(Valeurs!$B$2:$B$40,MATCH(E517,Valeurs!$A$2:$A$40,0))*INDEX(Valeurs!$D$2:$D$40,MATCH(E517,Valeurs!$A$2:$A$40,0))</f>
        <v>27</v>
      </c>
      <c r="I517" s="72" t="n">
        <f aca="false">F517/INDEX(Valeurs!$B$2:$B$40,MATCH(E517,Valeurs!$A$2:$A$40,0))*INDEX(Valeurs!$E$2:$E$40,MATCH(E517,Valeurs!$A$2:$A$40,0))</f>
        <v>1.35</v>
      </c>
      <c r="J517" s="64" t="n">
        <v>2</v>
      </c>
    </row>
    <row r="518" customFormat="false" ht="15" hidden="false" customHeight="false" outlineLevel="0" collapsed="false">
      <c r="A518" s="70" t="n">
        <v>46307</v>
      </c>
      <c r="B518" s="64" t="s">
        <v>23</v>
      </c>
      <c r="C518" s="64" t="s">
        <v>90</v>
      </c>
      <c r="D518" s="64" t="s">
        <v>6</v>
      </c>
      <c r="E518" s="64" t="s">
        <v>28</v>
      </c>
      <c r="F518" s="71" t="n">
        <f aca="false">Menu!D287</f>
        <v>8</v>
      </c>
      <c r="G518" s="64" t="s">
        <v>15</v>
      </c>
      <c r="H518" s="66" t="n">
        <f aca="false">F518/INDEX(Valeurs!$B$2:$B$40,MATCH(E518,Valeurs!$A$2:$A$40,0))*INDEX(Valeurs!$D$2:$D$40,MATCH(E518,Valeurs!$A$2:$A$40,0))</f>
        <v>72</v>
      </c>
      <c r="I518" s="72" t="n">
        <f aca="false">F518/INDEX(Valeurs!$B$2:$B$40,MATCH(E518,Valeurs!$A$2:$A$40,0))*INDEX(Valeurs!$E$2:$E$40,MATCH(E518,Valeurs!$A$2:$A$40,0))</f>
        <v>0</v>
      </c>
      <c r="J518" s="64" t="n">
        <v>2</v>
      </c>
    </row>
    <row r="519" customFormat="false" ht="15" hidden="false" customHeight="false" outlineLevel="0" collapsed="false">
      <c r="A519" s="70" t="n">
        <v>46307</v>
      </c>
      <c r="B519" s="64" t="s">
        <v>23</v>
      </c>
      <c r="C519" s="64" t="s">
        <v>90</v>
      </c>
      <c r="D519" s="64" t="s">
        <v>7</v>
      </c>
      <c r="E519" s="64" t="s">
        <v>28</v>
      </c>
      <c r="F519" s="71" t="n">
        <f aca="false">Menu!E287</f>
        <v>6</v>
      </c>
      <c r="G519" s="64" t="s">
        <v>15</v>
      </c>
      <c r="H519" s="66" t="n">
        <f aca="false">F519/INDEX(Valeurs!$B$2:$B$40,MATCH(E519,Valeurs!$A$2:$A$40,0))*INDEX(Valeurs!$D$2:$D$40,MATCH(E519,Valeurs!$A$2:$A$40,0))</f>
        <v>54</v>
      </c>
      <c r="I519" s="72" t="n">
        <f aca="false">F519/INDEX(Valeurs!$B$2:$B$40,MATCH(E519,Valeurs!$A$2:$A$40,0))*INDEX(Valeurs!$E$2:$E$40,MATCH(E519,Valeurs!$A$2:$A$40,0))</f>
        <v>0</v>
      </c>
      <c r="J519" s="64" t="n">
        <v>2</v>
      </c>
    </row>
    <row r="520" customFormat="false" ht="15" hidden="false" customHeight="false" outlineLevel="0" collapsed="false">
      <c r="A520" s="70" t="n">
        <v>46307</v>
      </c>
      <c r="B520" s="64" t="s">
        <v>29</v>
      </c>
      <c r="C520" s="64" t="s">
        <v>91</v>
      </c>
      <c r="D520" s="64" t="s">
        <v>6</v>
      </c>
      <c r="E520" s="64" t="s">
        <v>51</v>
      </c>
      <c r="F520" s="71" t="n">
        <f aca="false">Menu!D288</f>
        <v>110</v>
      </c>
      <c r="G520" s="64" t="s">
        <v>15</v>
      </c>
      <c r="H520" s="66" t="n">
        <f aca="false">F520/INDEX(Valeurs!$B$2:$B$40,MATCH(E520,Valeurs!$A$2:$A$40,0))*INDEX(Valeurs!$D$2:$D$40,MATCH(E520,Valeurs!$A$2:$A$40,0))</f>
        <v>154</v>
      </c>
      <c r="I520" s="72" t="n">
        <f aca="false">F520/INDEX(Valeurs!$B$2:$B$40,MATCH(E520,Valeurs!$A$2:$A$40,0))*INDEX(Valeurs!$E$2:$E$40,MATCH(E520,Valeurs!$A$2:$A$40,0))</f>
        <v>23.1</v>
      </c>
      <c r="J520" s="64" t="n">
        <v>2</v>
      </c>
    </row>
    <row r="521" customFormat="false" ht="15" hidden="false" customHeight="false" outlineLevel="0" collapsed="false">
      <c r="A521" s="70" t="n">
        <v>46307</v>
      </c>
      <c r="B521" s="64" t="s">
        <v>29</v>
      </c>
      <c r="C521" s="64" t="s">
        <v>91</v>
      </c>
      <c r="D521" s="64" t="s">
        <v>7</v>
      </c>
      <c r="E521" s="64" t="s">
        <v>51</v>
      </c>
      <c r="F521" s="71" t="n">
        <f aca="false">Menu!E288</f>
        <v>85</v>
      </c>
      <c r="G521" s="64" t="s">
        <v>15</v>
      </c>
      <c r="H521" s="66" t="n">
        <f aca="false">F521/INDEX(Valeurs!$B$2:$B$40,MATCH(E521,Valeurs!$A$2:$A$40,0))*INDEX(Valeurs!$D$2:$D$40,MATCH(E521,Valeurs!$A$2:$A$40,0))</f>
        <v>119</v>
      </c>
      <c r="I521" s="72" t="n">
        <f aca="false">F521/INDEX(Valeurs!$B$2:$B$40,MATCH(E521,Valeurs!$A$2:$A$40,0))*INDEX(Valeurs!$E$2:$E$40,MATCH(E521,Valeurs!$A$2:$A$40,0))</f>
        <v>17.85</v>
      </c>
      <c r="J521" s="64" t="n">
        <v>2</v>
      </c>
    </row>
    <row r="522" customFormat="false" ht="15" hidden="false" customHeight="false" outlineLevel="0" collapsed="false">
      <c r="A522" s="70" t="n">
        <v>46307</v>
      </c>
      <c r="B522" s="64" t="s">
        <v>29</v>
      </c>
      <c r="C522" s="64" t="s">
        <v>91</v>
      </c>
      <c r="D522" s="64" t="s">
        <v>6</v>
      </c>
      <c r="E522" s="64" t="s">
        <v>84</v>
      </c>
      <c r="F522" s="71" t="n">
        <f aca="false">Menu!D289</f>
        <v>65</v>
      </c>
      <c r="G522" s="64" t="s">
        <v>15</v>
      </c>
      <c r="H522" s="66" t="n">
        <f aca="false">F522/INDEX(Valeurs!$B$2:$B$40,MATCH(E522,Valeurs!$A$2:$A$40,0))*INDEX(Valeurs!$D$2:$D$40,MATCH(E522,Valeurs!$A$2:$A$40,0))</f>
        <v>230.75</v>
      </c>
      <c r="I522" s="72" t="n">
        <f aca="false">F522/INDEX(Valeurs!$B$2:$B$40,MATCH(E522,Valeurs!$A$2:$A$40,0))*INDEX(Valeurs!$E$2:$E$40,MATCH(E522,Valeurs!$A$2:$A$40,0))</f>
        <v>8.125</v>
      </c>
      <c r="J522" s="64" t="n">
        <v>2</v>
      </c>
    </row>
    <row r="523" customFormat="false" ht="15" hidden="false" customHeight="false" outlineLevel="0" collapsed="false">
      <c r="A523" s="70" t="n">
        <v>46307</v>
      </c>
      <c r="B523" s="64" t="s">
        <v>29</v>
      </c>
      <c r="C523" s="64" t="s">
        <v>91</v>
      </c>
      <c r="D523" s="64" t="s">
        <v>7</v>
      </c>
      <c r="E523" s="64" t="s">
        <v>84</v>
      </c>
      <c r="F523" s="71" t="n">
        <f aca="false">Menu!E289</f>
        <v>45</v>
      </c>
      <c r="G523" s="64" t="s">
        <v>15</v>
      </c>
      <c r="H523" s="66" t="n">
        <f aca="false">F523/INDEX(Valeurs!$B$2:$B$40,MATCH(E523,Valeurs!$A$2:$A$40,0))*INDEX(Valeurs!$D$2:$D$40,MATCH(E523,Valeurs!$A$2:$A$40,0))</f>
        <v>159.75</v>
      </c>
      <c r="I523" s="72" t="n">
        <f aca="false">F523/INDEX(Valeurs!$B$2:$B$40,MATCH(E523,Valeurs!$A$2:$A$40,0))*INDEX(Valeurs!$E$2:$E$40,MATCH(E523,Valeurs!$A$2:$A$40,0))</f>
        <v>5.625</v>
      </c>
      <c r="J523" s="64" t="n">
        <v>2</v>
      </c>
    </row>
    <row r="524" customFormat="false" ht="15" hidden="false" customHeight="false" outlineLevel="0" collapsed="false">
      <c r="A524" s="70" t="n">
        <v>46307</v>
      </c>
      <c r="B524" s="64" t="s">
        <v>29</v>
      </c>
      <c r="C524" s="64" t="s">
        <v>91</v>
      </c>
      <c r="D524" s="64" t="s">
        <v>6</v>
      </c>
      <c r="E524" s="64" t="s">
        <v>33</v>
      </c>
      <c r="F524" s="71" t="n">
        <f aca="false">Menu!D290</f>
        <v>100</v>
      </c>
      <c r="G524" s="64" t="s">
        <v>15</v>
      </c>
      <c r="H524" s="66" t="n">
        <f aca="false">F524/INDEX(Valeurs!$B$2:$B$40,MATCH(E524,Valeurs!$A$2:$A$40,0))*INDEX(Valeurs!$D$2:$D$40,MATCH(E524,Valeurs!$A$2:$A$40,0))</f>
        <v>17</v>
      </c>
      <c r="I524" s="72" t="n">
        <f aca="false">F524/INDEX(Valeurs!$B$2:$B$40,MATCH(E524,Valeurs!$A$2:$A$40,0))*INDEX(Valeurs!$E$2:$E$40,MATCH(E524,Valeurs!$A$2:$A$40,0))</f>
        <v>1.2</v>
      </c>
      <c r="J524" s="64" t="n">
        <v>2</v>
      </c>
    </row>
    <row r="525" customFormat="false" ht="15" hidden="false" customHeight="false" outlineLevel="0" collapsed="false">
      <c r="A525" s="70" t="n">
        <v>46307</v>
      </c>
      <c r="B525" s="64" t="s">
        <v>29</v>
      </c>
      <c r="C525" s="64" t="s">
        <v>91</v>
      </c>
      <c r="D525" s="64" t="s">
        <v>7</v>
      </c>
      <c r="E525" s="64" t="s">
        <v>33</v>
      </c>
      <c r="F525" s="71" t="n">
        <f aca="false">Menu!E290</f>
        <v>120</v>
      </c>
      <c r="G525" s="64" t="s">
        <v>15</v>
      </c>
      <c r="H525" s="66" t="n">
        <f aca="false">F525/INDEX(Valeurs!$B$2:$B$40,MATCH(E525,Valeurs!$A$2:$A$40,0))*INDEX(Valeurs!$D$2:$D$40,MATCH(E525,Valeurs!$A$2:$A$40,0))</f>
        <v>20.4</v>
      </c>
      <c r="I525" s="72" t="n">
        <f aca="false">F525/INDEX(Valeurs!$B$2:$B$40,MATCH(E525,Valeurs!$A$2:$A$40,0))*INDEX(Valeurs!$E$2:$E$40,MATCH(E525,Valeurs!$A$2:$A$40,0))</f>
        <v>1.44</v>
      </c>
      <c r="J525" s="64" t="n">
        <v>2</v>
      </c>
    </row>
    <row r="526" customFormat="false" ht="15" hidden="false" customHeight="false" outlineLevel="0" collapsed="false">
      <c r="A526" s="70" t="n">
        <v>46307</v>
      </c>
      <c r="B526" s="64" t="s">
        <v>29</v>
      </c>
      <c r="C526" s="64" t="s">
        <v>91</v>
      </c>
      <c r="D526" s="64" t="s">
        <v>6</v>
      </c>
      <c r="E526" s="64" t="s">
        <v>20</v>
      </c>
      <c r="F526" s="71" t="n">
        <f aca="false">Menu!D291</f>
        <v>150</v>
      </c>
      <c r="G526" s="64" t="s">
        <v>15</v>
      </c>
      <c r="H526" s="66" t="n">
        <f aca="false">F526/INDEX(Valeurs!$B$2:$B$40,MATCH(E526,Valeurs!$A$2:$A$40,0))*INDEX(Valeurs!$D$2:$D$40,MATCH(E526,Valeurs!$A$2:$A$40,0))</f>
        <v>27</v>
      </c>
      <c r="I526" s="72" t="n">
        <f aca="false">F526/INDEX(Valeurs!$B$2:$B$40,MATCH(E526,Valeurs!$A$2:$A$40,0))*INDEX(Valeurs!$E$2:$E$40,MATCH(E526,Valeurs!$A$2:$A$40,0))</f>
        <v>1.35</v>
      </c>
      <c r="J526" s="64" t="n">
        <v>2</v>
      </c>
    </row>
    <row r="527" customFormat="false" ht="15" hidden="false" customHeight="false" outlineLevel="0" collapsed="false">
      <c r="A527" s="70" t="n">
        <v>46307</v>
      </c>
      <c r="B527" s="64" t="s">
        <v>29</v>
      </c>
      <c r="C527" s="64" t="s">
        <v>91</v>
      </c>
      <c r="D527" s="64" t="s">
        <v>7</v>
      </c>
      <c r="E527" s="64" t="s">
        <v>20</v>
      </c>
      <c r="F527" s="71" t="n">
        <f aca="false">Menu!E291</f>
        <v>150</v>
      </c>
      <c r="G527" s="64" t="s">
        <v>15</v>
      </c>
      <c r="H527" s="66" t="n">
        <f aca="false">F527/INDEX(Valeurs!$B$2:$B$40,MATCH(E527,Valeurs!$A$2:$A$40,0))*INDEX(Valeurs!$D$2:$D$40,MATCH(E527,Valeurs!$A$2:$A$40,0))</f>
        <v>27</v>
      </c>
      <c r="I527" s="72" t="n">
        <f aca="false">F527/INDEX(Valeurs!$B$2:$B$40,MATCH(E527,Valeurs!$A$2:$A$40,0))*INDEX(Valeurs!$E$2:$E$40,MATCH(E527,Valeurs!$A$2:$A$40,0))</f>
        <v>1.35</v>
      </c>
      <c r="J527" s="64" t="n">
        <v>2</v>
      </c>
    </row>
    <row r="528" customFormat="false" ht="15" hidden="false" customHeight="false" outlineLevel="0" collapsed="false">
      <c r="A528" s="70" t="n">
        <v>46307</v>
      </c>
      <c r="B528" s="64" t="s">
        <v>29</v>
      </c>
      <c r="C528" s="64" t="s">
        <v>91</v>
      </c>
      <c r="D528" s="64" t="s">
        <v>6</v>
      </c>
      <c r="E528" s="64" t="s">
        <v>35</v>
      </c>
      <c r="F528" s="71" t="n">
        <f aca="false">Menu!D292</f>
        <v>20</v>
      </c>
      <c r="G528" s="64" t="s">
        <v>15</v>
      </c>
      <c r="H528" s="66" t="n">
        <f aca="false">F528/INDEX(Valeurs!$B$2:$B$40,MATCH(E528,Valeurs!$A$2:$A$40,0))*INDEX(Valeurs!$D$2:$D$40,MATCH(E528,Valeurs!$A$2:$A$40,0))</f>
        <v>8</v>
      </c>
      <c r="I528" s="72" t="n">
        <f aca="false">F528/INDEX(Valeurs!$B$2:$B$40,MATCH(E528,Valeurs!$A$2:$A$40,0))*INDEX(Valeurs!$E$2:$E$40,MATCH(E528,Valeurs!$A$2:$A$40,0))</f>
        <v>0.22</v>
      </c>
      <c r="J528" s="64" t="n">
        <v>2</v>
      </c>
    </row>
    <row r="529" customFormat="false" ht="15" hidden="false" customHeight="false" outlineLevel="0" collapsed="false">
      <c r="A529" s="70" t="n">
        <v>46307</v>
      </c>
      <c r="B529" s="64" t="s">
        <v>29</v>
      </c>
      <c r="C529" s="64" t="s">
        <v>91</v>
      </c>
      <c r="D529" s="64" t="s">
        <v>7</v>
      </c>
      <c r="E529" s="64" t="s">
        <v>35</v>
      </c>
      <c r="F529" s="71" t="n">
        <f aca="false">Menu!E292</f>
        <v>20</v>
      </c>
      <c r="G529" s="64" t="s">
        <v>15</v>
      </c>
      <c r="H529" s="66" t="n">
        <f aca="false">F529/INDEX(Valeurs!$B$2:$B$40,MATCH(E529,Valeurs!$A$2:$A$40,0))*INDEX(Valeurs!$D$2:$D$40,MATCH(E529,Valeurs!$A$2:$A$40,0))</f>
        <v>8</v>
      </c>
      <c r="I529" s="72" t="n">
        <f aca="false">F529/INDEX(Valeurs!$B$2:$B$40,MATCH(E529,Valeurs!$A$2:$A$40,0))*INDEX(Valeurs!$E$2:$E$40,MATCH(E529,Valeurs!$A$2:$A$40,0))</f>
        <v>0.22</v>
      </c>
      <c r="J529" s="64" t="n">
        <v>2</v>
      </c>
    </row>
    <row r="530" customFormat="false" ht="15" hidden="false" customHeight="false" outlineLevel="0" collapsed="false">
      <c r="A530" s="70" t="n">
        <v>46307</v>
      </c>
      <c r="B530" s="64" t="s">
        <v>29</v>
      </c>
      <c r="C530" s="64" t="s">
        <v>91</v>
      </c>
      <c r="D530" s="64" t="s">
        <v>6</v>
      </c>
      <c r="E530" s="64" t="s">
        <v>85</v>
      </c>
      <c r="F530" s="71" t="n">
        <f aca="false">Menu!D293</f>
        <v>30</v>
      </c>
      <c r="G530" s="64" t="s">
        <v>15</v>
      </c>
      <c r="H530" s="66" t="n">
        <f aca="false">F530/INDEX(Valeurs!$B$2:$B$40,MATCH(E530,Valeurs!$A$2:$A$40,0))*INDEX(Valeurs!$D$2:$D$40,MATCH(E530,Valeurs!$A$2:$A$40,0))</f>
        <v>84</v>
      </c>
      <c r="I530" s="72" t="n">
        <f aca="false">F530/INDEX(Valeurs!$B$2:$B$40,MATCH(E530,Valeurs!$A$2:$A$40,0))*INDEX(Valeurs!$E$2:$E$40,MATCH(E530,Valeurs!$A$2:$A$40,0))</f>
        <v>6.3</v>
      </c>
      <c r="J530" s="64" t="n">
        <v>2</v>
      </c>
    </row>
    <row r="531" customFormat="false" ht="15" hidden="false" customHeight="false" outlineLevel="0" collapsed="false">
      <c r="A531" s="70" t="n">
        <v>46307</v>
      </c>
      <c r="B531" s="64" t="s">
        <v>29</v>
      </c>
      <c r="C531" s="64" t="s">
        <v>91</v>
      </c>
      <c r="D531" s="64" t="s">
        <v>7</v>
      </c>
      <c r="E531" s="64" t="s">
        <v>85</v>
      </c>
      <c r="F531" s="71" t="n">
        <f aca="false">Menu!E293</f>
        <v>25</v>
      </c>
      <c r="G531" s="64" t="s">
        <v>15</v>
      </c>
      <c r="H531" s="66" t="n">
        <f aca="false">F531/INDEX(Valeurs!$B$2:$B$40,MATCH(E531,Valeurs!$A$2:$A$40,0))*INDEX(Valeurs!$D$2:$D$40,MATCH(E531,Valeurs!$A$2:$A$40,0))</f>
        <v>70</v>
      </c>
      <c r="I531" s="72" t="n">
        <f aca="false">F531/INDEX(Valeurs!$B$2:$B$40,MATCH(E531,Valeurs!$A$2:$A$40,0))*INDEX(Valeurs!$E$2:$E$40,MATCH(E531,Valeurs!$A$2:$A$40,0))</f>
        <v>5.25</v>
      </c>
      <c r="J531" s="64" t="n">
        <v>2</v>
      </c>
    </row>
    <row r="532" customFormat="false" ht="15" hidden="false" customHeight="false" outlineLevel="0" collapsed="false">
      <c r="A532" s="70" t="n">
        <v>46307</v>
      </c>
      <c r="B532" s="64" t="s">
        <v>29</v>
      </c>
      <c r="C532" s="64" t="s">
        <v>91</v>
      </c>
      <c r="D532" s="64" t="s">
        <v>6</v>
      </c>
      <c r="E532" s="64" t="s">
        <v>12</v>
      </c>
      <c r="F532" s="71" t="n">
        <f aca="false">Menu!D294</f>
        <v>80</v>
      </c>
      <c r="G532" s="64" t="s">
        <v>13</v>
      </c>
      <c r="H532" s="66" t="n">
        <f aca="false">F532/INDEX(Valeurs!$B$2:$B$40,MATCH(E532,Valeurs!$A$2:$A$40,0))*INDEX(Valeurs!$D$2:$D$40,MATCH(E532,Valeurs!$A$2:$A$40,0))</f>
        <v>36.8</v>
      </c>
      <c r="I532" s="72" t="n">
        <f aca="false">F532/INDEX(Valeurs!$B$2:$B$40,MATCH(E532,Valeurs!$A$2:$A$40,0))*INDEX(Valeurs!$E$2:$E$40,MATCH(E532,Valeurs!$A$2:$A$40,0))</f>
        <v>2.64</v>
      </c>
      <c r="J532" s="64" t="n">
        <v>2</v>
      </c>
    </row>
    <row r="533" customFormat="false" ht="15" hidden="false" customHeight="false" outlineLevel="0" collapsed="false">
      <c r="A533" s="70" t="n">
        <v>46307</v>
      </c>
      <c r="B533" s="64" t="s">
        <v>29</v>
      </c>
      <c r="C533" s="64" t="s">
        <v>91</v>
      </c>
      <c r="D533" s="64" t="s">
        <v>7</v>
      </c>
      <c r="E533" s="64" t="s">
        <v>12</v>
      </c>
      <c r="F533" s="71" t="n">
        <f aca="false">Menu!E294</f>
        <v>60</v>
      </c>
      <c r="G533" s="64" t="s">
        <v>13</v>
      </c>
      <c r="H533" s="66" t="n">
        <f aca="false">F533/INDEX(Valeurs!$B$2:$B$40,MATCH(E533,Valeurs!$A$2:$A$40,0))*INDEX(Valeurs!$D$2:$D$40,MATCH(E533,Valeurs!$A$2:$A$40,0))</f>
        <v>27.6</v>
      </c>
      <c r="I533" s="72" t="n">
        <f aca="false">F533/INDEX(Valeurs!$B$2:$B$40,MATCH(E533,Valeurs!$A$2:$A$40,0))*INDEX(Valeurs!$E$2:$E$40,MATCH(E533,Valeurs!$A$2:$A$40,0))</f>
        <v>1.98</v>
      </c>
      <c r="J533" s="64" t="n">
        <v>2</v>
      </c>
    </row>
    <row r="534" customFormat="false" ht="15" hidden="false" customHeight="false" outlineLevel="0" collapsed="false">
      <c r="A534" s="70" t="n">
        <v>46307</v>
      </c>
      <c r="B534" s="64" t="s">
        <v>29</v>
      </c>
      <c r="C534" s="64" t="s">
        <v>91</v>
      </c>
      <c r="D534" s="64" t="s">
        <v>6</v>
      </c>
      <c r="E534" s="64" t="s">
        <v>81</v>
      </c>
      <c r="F534" s="71" t="n">
        <f aca="false">Menu!D295</f>
        <v>8</v>
      </c>
      <c r="G534" s="64" t="s">
        <v>15</v>
      </c>
      <c r="H534" s="66" t="n">
        <f aca="false">F534/INDEX(Valeurs!$B$2:$B$40,MATCH(E534,Valeurs!$A$2:$A$40,0))*INDEX(Valeurs!$D$2:$D$40,MATCH(E534,Valeurs!$A$2:$A$40,0))</f>
        <v>28</v>
      </c>
      <c r="I534" s="72" t="n">
        <f aca="false">F534/INDEX(Valeurs!$B$2:$B$40,MATCH(E534,Valeurs!$A$2:$A$40,0))*INDEX(Valeurs!$E$2:$E$40,MATCH(E534,Valeurs!$A$2:$A$40,0))</f>
        <v>0.8</v>
      </c>
      <c r="J534" s="64" t="n">
        <v>2</v>
      </c>
    </row>
    <row r="535" customFormat="false" ht="15" hidden="false" customHeight="false" outlineLevel="0" collapsed="false">
      <c r="A535" s="70" t="n">
        <v>46307</v>
      </c>
      <c r="B535" s="64" t="s">
        <v>29</v>
      </c>
      <c r="C535" s="64" t="s">
        <v>91</v>
      </c>
      <c r="D535" s="64" t="s">
        <v>7</v>
      </c>
      <c r="E535" s="64" t="s">
        <v>81</v>
      </c>
      <c r="F535" s="71" t="n">
        <f aca="false">Menu!E295</f>
        <v>6</v>
      </c>
      <c r="G535" s="64" t="s">
        <v>15</v>
      </c>
      <c r="H535" s="66" t="n">
        <f aca="false">F535/INDEX(Valeurs!$B$2:$B$40,MATCH(E535,Valeurs!$A$2:$A$40,0))*INDEX(Valeurs!$D$2:$D$40,MATCH(E535,Valeurs!$A$2:$A$40,0))</f>
        <v>21</v>
      </c>
      <c r="I535" s="72" t="n">
        <f aca="false">F535/INDEX(Valeurs!$B$2:$B$40,MATCH(E535,Valeurs!$A$2:$A$40,0))*INDEX(Valeurs!$E$2:$E$40,MATCH(E535,Valeurs!$A$2:$A$40,0))</f>
        <v>0.6</v>
      </c>
      <c r="J535" s="64" t="n">
        <v>2</v>
      </c>
    </row>
    <row r="536" customFormat="false" ht="15" hidden="false" customHeight="false" outlineLevel="0" collapsed="false">
      <c r="A536" s="70" t="n">
        <v>46307</v>
      </c>
      <c r="B536" s="64" t="s">
        <v>29</v>
      </c>
      <c r="C536" s="64" t="s">
        <v>91</v>
      </c>
      <c r="D536" s="64" t="s">
        <v>6</v>
      </c>
      <c r="E536" s="64" t="s">
        <v>28</v>
      </c>
      <c r="F536" s="71" t="n">
        <f aca="false">Menu!D296</f>
        <v>8</v>
      </c>
      <c r="G536" s="64" t="s">
        <v>15</v>
      </c>
      <c r="H536" s="66" t="n">
        <f aca="false">F536/INDEX(Valeurs!$B$2:$B$40,MATCH(E536,Valeurs!$A$2:$A$40,0))*INDEX(Valeurs!$D$2:$D$40,MATCH(E536,Valeurs!$A$2:$A$40,0))</f>
        <v>72</v>
      </c>
      <c r="I536" s="72" t="n">
        <f aca="false">F536/INDEX(Valeurs!$B$2:$B$40,MATCH(E536,Valeurs!$A$2:$A$40,0))*INDEX(Valeurs!$E$2:$E$40,MATCH(E536,Valeurs!$A$2:$A$40,0))</f>
        <v>0</v>
      </c>
      <c r="J536" s="64" t="n">
        <v>2</v>
      </c>
    </row>
    <row r="537" customFormat="false" ht="15" hidden="false" customHeight="false" outlineLevel="0" collapsed="false">
      <c r="A537" s="70" t="n">
        <v>46307</v>
      </c>
      <c r="B537" s="64" t="s">
        <v>29</v>
      </c>
      <c r="C537" s="64" t="s">
        <v>91</v>
      </c>
      <c r="D537" s="64" t="s">
        <v>7</v>
      </c>
      <c r="E537" s="64" t="s">
        <v>28</v>
      </c>
      <c r="F537" s="71" t="n">
        <f aca="false">Menu!E296</f>
        <v>6</v>
      </c>
      <c r="G537" s="64" t="s">
        <v>15</v>
      </c>
      <c r="H537" s="66" t="n">
        <f aca="false">F537/INDEX(Valeurs!$B$2:$B$40,MATCH(E537,Valeurs!$A$2:$A$40,0))*INDEX(Valeurs!$D$2:$D$40,MATCH(E537,Valeurs!$A$2:$A$40,0))</f>
        <v>54</v>
      </c>
      <c r="I537" s="72" t="n">
        <f aca="false">F537/INDEX(Valeurs!$B$2:$B$40,MATCH(E537,Valeurs!$A$2:$A$40,0))*INDEX(Valeurs!$E$2:$E$40,MATCH(E537,Valeurs!$A$2:$A$40,0))</f>
        <v>0</v>
      </c>
      <c r="J537" s="64" t="n">
        <v>2</v>
      </c>
    </row>
    <row r="538" customFormat="false" ht="15" hidden="false" customHeight="false" outlineLevel="0" collapsed="false">
      <c r="A538" s="70" t="n">
        <v>46307</v>
      </c>
      <c r="B538" s="64" t="s">
        <v>29</v>
      </c>
      <c r="C538" s="64" t="s">
        <v>91</v>
      </c>
      <c r="D538" s="64" t="s">
        <v>6</v>
      </c>
      <c r="E538" s="64" t="s">
        <v>46</v>
      </c>
      <c r="F538" s="71" t="n">
        <f aca="false">Menu!D297</f>
        <v>40</v>
      </c>
      <c r="G538" s="64" t="s">
        <v>15</v>
      </c>
      <c r="H538" s="66" t="n">
        <f aca="false">F538/INDEX(Valeurs!$B$2:$B$40,MATCH(E538,Valeurs!$A$2:$A$40,0))*INDEX(Valeurs!$D$2:$D$40,MATCH(E538,Valeurs!$A$2:$A$40,0))</f>
        <v>6</v>
      </c>
      <c r="I538" s="72" t="n">
        <f aca="false">F538/INDEX(Valeurs!$B$2:$B$40,MATCH(E538,Valeurs!$A$2:$A$40,0))*INDEX(Valeurs!$E$2:$E$40,MATCH(E538,Valeurs!$A$2:$A$40,0))</f>
        <v>0.56</v>
      </c>
      <c r="J538" s="64" t="n">
        <v>2</v>
      </c>
    </row>
    <row r="539" customFormat="false" ht="15" hidden="false" customHeight="false" outlineLevel="0" collapsed="false">
      <c r="A539" s="70" t="n">
        <v>46307</v>
      </c>
      <c r="B539" s="64" t="s">
        <v>29</v>
      </c>
      <c r="C539" s="64" t="s">
        <v>91</v>
      </c>
      <c r="D539" s="64" t="s">
        <v>7</v>
      </c>
      <c r="E539" s="64" t="s">
        <v>46</v>
      </c>
      <c r="F539" s="71" t="n">
        <f aca="false">Menu!E297</f>
        <v>60</v>
      </c>
      <c r="G539" s="64" t="s">
        <v>15</v>
      </c>
      <c r="H539" s="66" t="n">
        <f aca="false">F539/INDEX(Valeurs!$B$2:$B$40,MATCH(E539,Valeurs!$A$2:$A$40,0))*INDEX(Valeurs!$D$2:$D$40,MATCH(E539,Valeurs!$A$2:$A$40,0))</f>
        <v>9</v>
      </c>
      <c r="I539" s="72" t="n">
        <f aca="false">F539/INDEX(Valeurs!$B$2:$B$40,MATCH(E539,Valeurs!$A$2:$A$40,0))*INDEX(Valeurs!$E$2:$E$40,MATCH(E539,Valeurs!$A$2:$A$40,0))</f>
        <v>0.84</v>
      </c>
      <c r="J539" s="64" t="n">
        <v>2</v>
      </c>
    </row>
    <row r="540" customFormat="false" ht="15" hidden="false" customHeight="false" outlineLevel="0" collapsed="false">
      <c r="A540" s="70" t="n">
        <v>46307</v>
      </c>
      <c r="B540" s="64" t="s">
        <v>36</v>
      </c>
      <c r="C540" s="64" t="s">
        <v>37</v>
      </c>
      <c r="D540" s="64" t="s">
        <v>6</v>
      </c>
      <c r="E540" s="64" t="s">
        <v>38</v>
      </c>
      <c r="F540" s="71" t="n">
        <f aca="false">Menu!D298</f>
        <v>125</v>
      </c>
      <c r="G540" s="64" t="s">
        <v>15</v>
      </c>
      <c r="H540" s="66" t="n">
        <f aca="false">F540/INDEX(Valeurs!$B$2:$B$40,MATCH(E540,Valeurs!$A$2:$A$40,0))*INDEX(Valeurs!$D$2:$D$40,MATCH(E540,Valeurs!$A$2:$A$40,0))</f>
        <v>75</v>
      </c>
      <c r="I540" s="72" t="n">
        <f aca="false">F540/INDEX(Valeurs!$B$2:$B$40,MATCH(E540,Valeurs!$A$2:$A$40,0))*INDEX(Valeurs!$E$2:$E$40,MATCH(E540,Valeurs!$A$2:$A$40,0))</f>
        <v>5.625</v>
      </c>
      <c r="J540" s="64" t="n">
        <v>2</v>
      </c>
    </row>
    <row r="541" customFormat="false" ht="15" hidden="false" customHeight="false" outlineLevel="0" collapsed="false">
      <c r="A541" s="70" t="n">
        <v>46307</v>
      </c>
      <c r="B541" s="64" t="s">
        <v>36</v>
      </c>
      <c r="C541" s="64" t="s">
        <v>37</v>
      </c>
      <c r="D541" s="64" t="s">
        <v>7</v>
      </c>
      <c r="E541" s="64" t="s">
        <v>38</v>
      </c>
      <c r="F541" s="71" t="n">
        <f aca="false">Menu!E298</f>
        <v>125</v>
      </c>
      <c r="G541" s="64" t="s">
        <v>15</v>
      </c>
      <c r="H541" s="66" t="n">
        <f aca="false">F541/INDEX(Valeurs!$B$2:$B$40,MATCH(E541,Valeurs!$A$2:$A$40,0))*INDEX(Valeurs!$D$2:$D$40,MATCH(E541,Valeurs!$A$2:$A$40,0))</f>
        <v>75</v>
      </c>
      <c r="I541" s="72" t="n">
        <f aca="false">F541/INDEX(Valeurs!$B$2:$B$40,MATCH(E541,Valeurs!$A$2:$A$40,0))*INDEX(Valeurs!$E$2:$E$40,MATCH(E541,Valeurs!$A$2:$A$40,0))</f>
        <v>5.625</v>
      </c>
      <c r="J541" s="64" t="n">
        <v>2</v>
      </c>
    </row>
    <row r="542" customFormat="false" ht="15" hidden="false" customHeight="false" outlineLevel="0" collapsed="false">
      <c r="A542" s="70" t="n">
        <v>46307</v>
      </c>
      <c r="B542" s="64" t="s">
        <v>36</v>
      </c>
      <c r="C542" s="64" t="s">
        <v>37</v>
      </c>
      <c r="D542" s="64" t="s">
        <v>6</v>
      </c>
      <c r="E542" s="64" t="s">
        <v>39</v>
      </c>
      <c r="F542" s="71" t="n">
        <f aca="false">Menu!D299</f>
        <v>10</v>
      </c>
      <c r="G542" s="64" t="s">
        <v>15</v>
      </c>
      <c r="H542" s="66" t="n">
        <f aca="false">F542/INDEX(Valeurs!$B$2:$B$40,MATCH(E542,Valeurs!$A$2:$A$40,0))*INDEX(Valeurs!$D$2:$D$40,MATCH(E542,Valeurs!$A$2:$A$40,0))</f>
        <v>58</v>
      </c>
      <c r="I542" s="72" t="n">
        <f aca="false">F542/INDEX(Valeurs!$B$2:$B$40,MATCH(E542,Valeurs!$A$2:$A$40,0))*INDEX(Valeurs!$E$2:$E$40,MATCH(E542,Valeurs!$A$2:$A$40,0))</f>
        <v>0.75</v>
      </c>
      <c r="J542" s="64" t="n">
        <v>2</v>
      </c>
    </row>
    <row r="543" customFormat="false" ht="15" hidden="false" customHeight="false" outlineLevel="0" collapsed="false">
      <c r="A543" s="70" t="n">
        <v>46307</v>
      </c>
      <c r="B543" s="64" t="s">
        <v>36</v>
      </c>
      <c r="C543" s="64" t="s">
        <v>37</v>
      </c>
      <c r="D543" s="64" t="s">
        <v>7</v>
      </c>
      <c r="E543" s="64" t="s">
        <v>39</v>
      </c>
      <c r="F543" s="71" t="n">
        <f aca="false">Menu!E299</f>
        <v>10</v>
      </c>
      <c r="G543" s="64" t="s">
        <v>15</v>
      </c>
      <c r="H543" s="66" t="n">
        <f aca="false">F543/INDEX(Valeurs!$B$2:$B$40,MATCH(E543,Valeurs!$A$2:$A$40,0))*INDEX(Valeurs!$D$2:$D$40,MATCH(E543,Valeurs!$A$2:$A$40,0))</f>
        <v>58</v>
      </c>
      <c r="I543" s="72" t="n">
        <f aca="false">F543/INDEX(Valeurs!$B$2:$B$40,MATCH(E543,Valeurs!$A$2:$A$40,0))*INDEX(Valeurs!$E$2:$E$40,MATCH(E543,Valeurs!$A$2:$A$40,0))</f>
        <v>0.75</v>
      </c>
      <c r="J543" s="64" t="n">
        <v>2</v>
      </c>
    </row>
    <row r="544" customFormat="false" ht="15" hidden="false" customHeight="false" outlineLevel="0" collapsed="false">
      <c r="A544" s="70" t="n">
        <v>46308</v>
      </c>
      <c r="B544" s="64" t="s">
        <v>10</v>
      </c>
      <c r="C544" s="64" t="s">
        <v>11</v>
      </c>
      <c r="D544" s="64" t="s">
        <v>6</v>
      </c>
      <c r="E544" s="64" t="s">
        <v>12</v>
      </c>
      <c r="F544" s="71" t="n">
        <f aca="false">Menu!D302</f>
        <v>250</v>
      </c>
      <c r="G544" s="64" t="s">
        <v>13</v>
      </c>
      <c r="H544" s="66" t="n">
        <f aca="false">F544/INDEX(Valeurs!$B$2:$B$40,MATCH(E544,Valeurs!$A$2:$A$40,0))*INDEX(Valeurs!$D$2:$D$40,MATCH(E544,Valeurs!$A$2:$A$40,0))</f>
        <v>115</v>
      </c>
      <c r="I544" s="72" t="n">
        <f aca="false">F544/INDEX(Valeurs!$B$2:$B$40,MATCH(E544,Valeurs!$A$2:$A$40,0))*INDEX(Valeurs!$E$2:$E$40,MATCH(E544,Valeurs!$A$2:$A$40,0))</f>
        <v>8.25</v>
      </c>
      <c r="J544" s="64" t="n">
        <v>2</v>
      </c>
    </row>
    <row r="545" customFormat="false" ht="15" hidden="false" customHeight="false" outlineLevel="0" collapsed="false">
      <c r="A545" s="70" t="n">
        <v>46308</v>
      </c>
      <c r="B545" s="64" t="s">
        <v>10</v>
      </c>
      <c r="C545" s="64" t="s">
        <v>11</v>
      </c>
      <c r="D545" s="64" t="s">
        <v>7</v>
      </c>
      <c r="E545" s="64" t="s">
        <v>12</v>
      </c>
      <c r="F545" s="71" t="n">
        <f aca="false">Menu!E302</f>
        <v>0</v>
      </c>
      <c r="G545" s="64" t="s">
        <v>13</v>
      </c>
      <c r="H545" s="66" t="n">
        <f aca="false">F545/INDEX(Valeurs!$B$2:$B$40,MATCH(E545,Valeurs!$A$2:$A$40,0))*INDEX(Valeurs!$D$2:$D$40,MATCH(E545,Valeurs!$A$2:$A$40,0))</f>
        <v>0</v>
      </c>
      <c r="I545" s="72" t="n">
        <f aca="false">F545/INDEX(Valeurs!$B$2:$B$40,MATCH(E545,Valeurs!$A$2:$A$40,0))*INDEX(Valeurs!$E$2:$E$40,MATCH(E545,Valeurs!$A$2:$A$40,0))</f>
        <v>0</v>
      </c>
      <c r="J545" s="64" t="n">
        <v>2</v>
      </c>
    </row>
    <row r="546" customFormat="false" ht="15" hidden="false" customHeight="false" outlineLevel="0" collapsed="false">
      <c r="A546" s="70" t="n">
        <v>46308</v>
      </c>
      <c r="B546" s="64" t="s">
        <v>10</v>
      </c>
      <c r="C546" s="64" t="s">
        <v>11</v>
      </c>
      <c r="D546" s="64" t="s">
        <v>6</v>
      </c>
      <c r="E546" s="64" t="s">
        <v>14</v>
      </c>
      <c r="F546" s="71" t="n">
        <f aca="false">Menu!D303</f>
        <v>100</v>
      </c>
      <c r="G546" s="64" t="s">
        <v>15</v>
      </c>
      <c r="H546" s="66" t="n">
        <f aca="false">F546/INDEX(Valeurs!$B$2:$B$40,MATCH(E546,Valeurs!$A$2:$A$40,0))*INDEX(Valeurs!$D$2:$D$40,MATCH(E546,Valeurs!$A$2:$A$40,0))</f>
        <v>90</v>
      </c>
      <c r="I546" s="72" t="n">
        <f aca="false">F546/INDEX(Valeurs!$B$2:$B$40,MATCH(E546,Valeurs!$A$2:$A$40,0))*INDEX(Valeurs!$E$2:$E$40,MATCH(E546,Valeurs!$A$2:$A$40,0))</f>
        <v>1.1</v>
      </c>
      <c r="J546" s="64" t="n">
        <v>2</v>
      </c>
    </row>
    <row r="547" customFormat="false" ht="15" hidden="false" customHeight="false" outlineLevel="0" collapsed="false">
      <c r="A547" s="70" t="n">
        <v>46308</v>
      </c>
      <c r="B547" s="64" t="s">
        <v>10</v>
      </c>
      <c r="C547" s="64" t="s">
        <v>11</v>
      </c>
      <c r="D547" s="64" t="s">
        <v>7</v>
      </c>
      <c r="E547" s="64" t="s">
        <v>14</v>
      </c>
      <c r="F547" s="71" t="n">
        <f aca="false">Menu!E303</f>
        <v>0</v>
      </c>
      <c r="G547" s="64" t="s">
        <v>15</v>
      </c>
      <c r="H547" s="66" t="n">
        <f aca="false">F547/INDEX(Valeurs!$B$2:$B$40,MATCH(E547,Valeurs!$A$2:$A$40,0))*INDEX(Valeurs!$D$2:$D$40,MATCH(E547,Valeurs!$A$2:$A$40,0))</f>
        <v>0</v>
      </c>
      <c r="I547" s="72" t="n">
        <f aca="false">F547/INDEX(Valeurs!$B$2:$B$40,MATCH(E547,Valeurs!$A$2:$A$40,0))*INDEX(Valeurs!$E$2:$E$40,MATCH(E547,Valeurs!$A$2:$A$40,0))</f>
        <v>0</v>
      </c>
      <c r="J547" s="64" t="n">
        <v>2</v>
      </c>
    </row>
    <row r="548" customFormat="false" ht="15" hidden="false" customHeight="false" outlineLevel="0" collapsed="false">
      <c r="A548" s="70" t="n">
        <v>46308</v>
      </c>
      <c r="B548" s="64" t="s">
        <v>10</v>
      </c>
      <c r="C548" s="64" t="s">
        <v>11</v>
      </c>
      <c r="D548" s="64" t="s">
        <v>6</v>
      </c>
      <c r="E548" s="64" t="s">
        <v>16</v>
      </c>
      <c r="F548" s="71" t="n">
        <f aca="false">Menu!D304</f>
        <v>65</v>
      </c>
      <c r="G548" s="64" t="s">
        <v>15</v>
      </c>
      <c r="H548" s="66" t="n">
        <f aca="false">F548/INDEX(Valeurs!$B$2:$B$40,MATCH(E548,Valeurs!$A$2:$A$40,0))*INDEX(Valeurs!$D$2:$D$40,MATCH(E548,Valeurs!$A$2:$A$40,0))</f>
        <v>241.8</v>
      </c>
      <c r="I548" s="72" t="n">
        <f aca="false">F548/INDEX(Valeurs!$B$2:$B$40,MATCH(E548,Valeurs!$A$2:$A$40,0))*INDEX(Valeurs!$E$2:$E$40,MATCH(E548,Valeurs!$A$2:$A$40,0))</f>
        <v>8.775</v>
      </c>
      <c r="J548" s="64" t="n">
        <v>2</v>
      </c>
    </row>
    <row r="549" customFormat="false" ht="15" hidden="false" customHeight="false" outlineLevel="0" collapsed="false">
      <c r="A549" s="70" t="n">
        <v>46308</v>
      </c>
      <c r="B549" s="64" t="s">
        <v>10</v>
      </c>
      <c r="C549" s="64" t="s">
        <v>11</v>
      </c>
      <c r="D549" s="64" t="s">
        <v>7</v>
      </c>
      <c r="E549" s="64" t="s">
        <v>16</v>
      </c>
      <c r="F549" s="71" t="n">
        <f aca="false">Menu!E304</f>
        <v>0</v>
      </c>
      <c r="G549" s="64" t="s">
        <v>15</v>
      </c>
      <c r="H549" s="66" t="n">
        <f aca="false">F549/INDEX(Valeurs!$B$2:$B$40,MATCH(E549,Valeurs!$A$2:$A$40,0))*INDEX(Valeurs!$D$2:$D$40,MATCH(E549,Valeurs!$A$2:$A$40,0))</f>
        <v>0</v>
      </c>
      <c r="I549" s="72" t="n">
        <f aca="false">F549/INDEX(Valeurs!$B$2:$B$40,MATCH(E549,Valeurs!$A$2:$A$40,0))*INDEX(Valeurs!$E$2:$E$40,MATCH(E549,Valeurs!$A$2:$A$40,0))</f>
        <v>0</v>
      </c>
      <c r="J549" s="64" t="n">
        <v>2</v>
      </c>
    </row>
    <row r="550" customFormat="false" ht="15" hidden="false" customHeight="false" outlineLevel="0" collapsed="false">
      <c r="A550" s="70" t="n">
        <v>46308</v>
      </c>
      <c r="B550" s="64" t="s">
        <v>10</v>
      </c>
      <c r="C550" s="64" t="s">
        <v>11</v>
      </c>
      <c r="D550" s="64" t="s">
        <v>6</v>
      </c>
      <c r="E550" s="64" t="s">
        <v>17</v>
      </c>
      <c r="F550" s="71" t="n">
        <f aca="false">Menu!D305</f>
        <v>1</v>
      </c>
      <c r="G550" s="64" t="s">
        <v>171</v>
      </c>
      <c r="H550" s="66" t="n">
        <f aca="false">F550/INDEX(Valeurs!$B$2:$B$40,MATCH(E550,Valeurs!$A$2:$A$40,0))*INDEX(Valeurs!$D$2:$D$40,MATCH(E550,Valeurs!$A$2:$A$40,0))</f>
        <v>87</v>
      </c>
      <c r="I550" s="72" t="n">
        <f aca="false">F550/INDEX(Valeurs!$B$2:$B$40,MATCH(E550,Valeurs!$A$2:$A$40,0))*INDEX(Valeurs!$E$2:$E$40,MATCH(E550,Valeurs!$A$2:$A$40,0))</f>
        <v>7.5</v>
      </c>
      <c r="J550" s="64" t="n">
        <v>2</v>
      </c>
    </row>
    <row r="551" customFormat="false" ht="15" hidden="false" customHeight="false" outlineLevel="0" collapsed="false">
      <c r="A551" s="70" t="n">
        <v>46308</v>
      </c>
      <c r="B551" s="64" t="s">
        <v>10</v>
      </c>
      <c r="C551" s="64" t="s">
        <v>11</v>
      </c>
      <c r="D551" s="64" t="s">
        <v>7</v>
      </c>
      <c r="E551" s="64" t="s">
        <v>17</v>
      </c>
      <c r="F551" s="71" t="n">
        <f aca="false">Menu!E305</f>
        <v>2</v>
      </c>
      <c r="G551" s="64" t="s">
        <v>171</v>
      </c>
      <c r="H551" s="66" t="n">
        <f aca="false">F551/INDEX(Valeurs!$B$2:$B$40,MATCH(E551,Valeurs!$A$2:$A$40,0))*INDEX(Valeurs!$D$2:$D$40,MATCH(E551,Valeurs!$A$2:$A$40,0))</f>
        <v>174</v>
      </c>
      <c r="I551" s="72" t="n">
        <f aca="false">F551/INDEX(Valeurs!$B$2:$B$40,MATCH(E551,Valeurs!$A$2:$A$40,0))*INDEX(Valeurs!$E$2:$E$40,MATCH(E551,Valeurs!$A$2:$A$40,0))</f>
        <v>15</v>
      </c>
      <c r="J551" s="64" t="n">
        <v>2</v>
      </c>
    </row>
    <row r="552" customFormat="false" ht="15" hidden="false" customHeight="false" outlineLevel="0" collapsed="false">
      <c r="A552" s="70" t="n">
        <v>46308</v>
      </c>
      <c r="B552" s="64" t="s">
        <v>10</v>
      </c>
      <c r="C552" s="64" t="s">
        <v>11</v>
      </c>
      <c r="D552" s="64" t="s">
        <v>6</v>
      </c>
      <c r="E552" s="64" t="s">
        <v>19</v>
      </c>
      <c r="F552" s="71" t="n">
        <f aca="false">Menu!D306</f>
        <v>0</v>
      </c>
      <c r="G552" s="64" t="s">
        <v>15</v>
      </c>
      <c r="H552" s="66" t="n">
        <f aca="false">F552/INDEX(Valeurs!$B$2:$B$40,MATCH(E552,Valeurs!$A$2:$A$40,0))*INDEX(Valeurs!$D$2:$D$40,MATCH(E552,Valeurs!$A$2:$A$40,0))</f>
        <v>0</v>
      </c>
      <c r="I552" s="72" t="n">
        <f aca="false">F552/INDEX(Valeurs!$B$2:$B$40,MATCH(E552,Valeurs!$A$2:$A$40,0))*INDEX(Valeurs!$E$2:$E$40,MATCH(E552,Valeurs!$A$2:$A$40,0))</f>
        <v>0</v>
      </c>
      <c r="J552" s="64" t="n">
        <v>2</v>
      </c>
    </row>
    <row r="553" customFormat="false" ht="15" hidden="false" customHeight="false" outlineLevel="0" collapsed="false">
      <c r="A553" s="70" t="n">
        <v>46308</v>
      </c>
      <c r="B553" s="64" t="s">
        <v>10</v>
      </c>
      <c r="C553" s="64" t="s">
        <v>11</v>
      </c>
      <c r="D553" s="64" t="s">
        <v>7</v>
      </c>
      <c r="E553" s="64" t="s">
        <v>19</v>
      </c>
      <c r="F553" s="71" t="n">
        <f aca="false">Menu!E306</f>
        <v>30</v>
      </c>
      <c r="G553" s="64" t="s">
        <v>15</v>
      </c>
      <c r="H553" s="66" t="n">
        <f aca="false">F553/INDEX(Valeurs!$B$2:$B$40,MATCH(E553,Valeurs!$A$2:$A$40,0))*INDEX(Valeurs!$D$2:$D$40,MATCH(E553,Valeurs!$A$2:$A$40,0))</f>
        <v>33</v>
      </c>
      <c r="I553" s="72" t="n">
        <f aca="false">F553/INDEX(Valeurs!$B$2:$B$40,MATCH(E553,Valeurs!$A$2:$A$40,0))*INDEX(Valeurs!$E$2:$E$40,MATCH(E553,Valeurs!$A$2:$A$40,0))</f>
        <v>6</v>
      </c>
      <c r="J553" s="64" t="n">
        <v>2</v>
      </c>
    </row>
    <row r="554" customFormat="false" ht="15" hidden="false" customHeight="false" outlineLevel="0" collapsed="false">
      <c r="A554" s="70" t="n">
        <v>46308</v>
      </c>
      <c r="B554" s="64" t="s">
        <v>10</v>
      </c>
      <c r="C554" s="64" t="s">
        <v>11</v>
      </c>
      <c r="D554" s="64" t="s">
        <v>6</v>
      </c>
      <c r="E554" s="64" t="s">
        <v>20</v>
      </c>
      <c r="F554" s="71" t="n">
        <f aca="false">Menu!D307</f>
        <v>0</v>
      </c>
      <c r="G554" s="64" t="s">
        <v>15</v>
      </c>
      <c r="H554" s="66" t="n">
        <f aca="false">F554/INDEX(Valeurs!$B$2:$B$40,MATCH(E554,Valeurs!$A$2:$A$40,0))*INDEX(Valeurs!$D$2:$D$40,MATCH(E554,Valeurs!$A$2:$A$40,0))</f>
        <v>0</v>
      </c>
      <c r="I554" s="72" t="n">
        <f aca="false">F554/INDEX(Valeurs!$B$2:$B$40,MATCH(E554,Valeurs!$A$2:$A$40,0))*INDEX(Valeurs!$E$2:$E$40,MATCH(E554,Valeurs!$A$2:$A$40,0))</f>
        <v>0</v>
      </c>
      <c r="J554" s="64" t="n">
        <v>2</v>
      </c>
    </row>
    <row r="555" customFormat="false" ht="15" hidden="false" customHeight="false" outlineLevel="0" collapsed="false">
      <c r="A555" s="70" t="n">
        <v>46308</v>
      </c>
      <c r="B555" s="64" t="s">
        <v>10</v>
      </c>
      <c r="C555" s="64" t="s">
        <v>11</v>
      </c>
      <c r="D555" s="64" t="s">
        <v>7</v>
      </c>
      <c r="E555" s="64" t="s">
        <v>20</v>
      </c>
      <c r="F555" s="71" t="n">
        <f aca="false">Menu!E307</f>
        <v>80</v>
      </c>
      <c r="G555" s="64" t="s">
        <v>15</v>
      </c>
      <c r="H555" s="66" t="n">
        <f aca="false">F555/INDEX(Valeurs!$B$2:$B$40,MATCH(E555,Valeurs!$A$2:$A$40,0))*INDEX(Valeurs!$D$2:$D$40,MATCH(E555,Valeurs!$A$2:$A$40,0))</f>
        <v>14.4</v>
      </c>
      <c r="I555" s="72" t="n">
        <f aca="false">F555/INDEX(Valeurs!$B$2:$B$40,MATCH(E555,Valeurs!$A$2:$A$40,0))*INDEX(Valeurs!$E$2:$E$40,MATCH(E555,Valeurs!$A$2:$A$40,0))</f>
        <v>0.72</v>
      </c>
      <c r="J555" s="64" t="n">
        <v>2</v>
      </c>
    </row>
    <row r="556" customFormat="false" ht="15" hidden="false" customHeight="false" outlineLevel="0" collapsed="false">
      <c r="A556" s="70" t="n">
        <v>46308</v>
      </c>
      <c r="B556" s="64" t="s">
        <v>10</v>
      </c>
      <c r="C556" s="64" t="s">
        <v>11</v>
      </c>
      <c r="D556" s="64" t="s">
        <v>6</v>
      </c>
      <c r="E556" s="64" t="s">
        <v>21</v>
      </c>
      <c r="F556" s="71" t="n">
        <f aca="false">Menu!D308</f>
        <v>0</v>
      </c>
      <c r="G556" s="64" t="s">
        <v>15</v>
      </c>
      <c r="H556" s="66" t="n">
        <f aca="false">F556/INDEX(Valeurs!$B$2:$B$40,MATCH(E556,Valeurs!$A$2:$A$40,0))*INDEX(Valeurs!$D$2:$D$40,MATCH(E556,Valeurs!$A$2:$A$40,0))</f>
        <v>0</v>
      </c>
      <c r="I556" s="72" t="n">
        <f aca="false">F556/INDEX(Valeurs!$B$2:$B$40,MATCH(E556,Valeurs!$A$2:$A$40,0))*INDEX(Valeurs!$E$2:$E$40,MATCH(E556,Valeurs!$A$2:$A$40,0))</f>
        <v>0</v>
      </c>
      <c r="J556" s="64" t="n">
        <v>2</v>
      </c>
    </row>
    <row r="557" customFormat="false" ht="15" hidden="false" customHeight="false" outlineLevel="0" collapsed="false">
      <c r="A557" s="70" t="n">
        <v>46308</v>
      </c>
      <c r="B557" s="64" t="s">
        <v>10</v>
      </c>
      <c r="C557" s="64" t="s">
        <v>11</v>
      </c>
      <c r="D557" s="64" t="s">
        <v>7</v>
      </c>
      <c r="E557" s="64" t="s">
        <v>21</v>
      </c>
      <c r="F557" s="71" t="n">
        <f aca="false">Menu!E308</f>
        <v>40</v>
      </c>
      <c r="G557" s="64" t="s">
        <v>15</v>
      </c>
      <c r="H557" s="66" t="n">
        <f aca="false">F557/INDEX(Valeurs!$B$2:$B$40,MATCH(E557,Valeurs!$A$2:$A$40,0))*INDEX(Valeurs!$D$2:$D$40,MATCH(E557,Valeurs!$A$2:$A$40,0))</f>
        <v>96</v>
      </c>
      <c r="I557" s="72" t="n">
        <f aca="false">F557/INDEX(Valeurs!$B$2:$B$40,MATCH(E557,Valeurs!$A$2:$A$40,0))*INDEX(Valeurs!$E$2:$E$40,MATCH(E557,Valeurs!$A$2:$A$40,0))</f>
        <v>3.6</v>
      </c>
      <c r="J557" s="64" t="n">
        <v>2</v>
      </c>
    </row>
    <row r="558" customFormat="false" ht="15" hidden="false" customHeight="false" outlineLevel="0" collapsed="false">
      <c r="A558" s="70" t="n">
        <v>46308</v>
      </c>
      <c r="B558" s="64" t="s">
        <v>10</v>
      </c>
      <c r="C558" s="64" t="s">
        <v>11</v>
      </c>
      <c r="D558" s="64" t="s">
        <v>6</v>
      </c>
      <c r="E558" s="64" t="s">
        <v>22</v>
      </c>
      <c r="F558" s="71" t="n">
        <f aca="false">Menu!D309</f>
        <v>0</v>
      </c>
      <c r="G558" s="64" t="s">
        <v>15</v>
      </c>
      <c r="H558" s="66" t="n">
        <f aca="false">F558/INDEX(Valeurs!$B$2:$B$40,MATCH(E558,Valeurs!$A$2:$A$40,0))*INDEX(Valeurs!$D$2:$D$40,MATCH(E558,Valeurs!$A$2:$A$40,0))</f>
        <v>0</v>
      </c>
      <c r="I558" s="72" t="n">
        <f aca="false">F558/INDEX(Valeurs!$B$2:$B$40,MATCH(E558,Valeurs!$A$2:$A$40,0))*INDEX(Valeurs!$E$2:$E$40,MATCH(E558,Valeurs!$A$2:$A$40,0))</f>
        <v>0</v>
      </c>
      <c r="J558" s="64" t="n">
        <v>2</v>
      </c>
    </row>
    <row r="559" customFormat="false" ht="15" hidden="false" customHeight="false" outlineLevel="0" collapsed="false">
      <c r="A559" s="70" t="n">
        <v>46308</v>
      </c>
      <c r="B559" s="64" t="s">
        <v>10</v>
      </c>
      <c r="C559" s="64" t="s">
        <v>11</v>
      </c>
      <c r="D559" s="64" t="s">
        <v>7</v>
      </c>
      <c r="E559" s="64" t="s">
        <v>22</v>
      </c>
      <c r="F559" s="71" t="n">
        <f aca="false">Menu!E309</f>
        <v>150</v>
      </c>
      <c r="G559" s="64" t="s">
        <v>15</v>
      </c>
      <c r="H559" s="66" t="n">
        <f aca="false">F559/INDEX(Valeurs!$B$2:$B$40,MATCH(E559,Valeurs!$A$2:$A$40,0))*INDEX(Valeurs!$D$2:$D$40,MATCH(E559,Valeurs!$A$2:$A$40,0))</f>
        <v>78</v>
      </c>
      <c r="I559" s="72" t="n">
        <f aca="false">F559/INDEX(Valeurs!$B$2:$B$40,MATCH(E559,Valeurs!$A$2:$A$40,0))*INDEX(Valeurs!$E$2:$E$40,MATCH(E559,Valeurs!$A$2:$A$40,0))</f>
        <v>0.45</v>
      </c>
      <c r="J559" s="64" t="n">
        <v>2</v>
      </c>
    </row>
    <row r="560" customFormat="false" ht="15" hidden="false" customHeight="false" outlineLevel="0" collapsed="false">
      <c r="A560" s="70" t="n">
        <v>46308</v>
      </c>
      <c r="B560" s="64" t="s">
        <v>23</v>
      </c>
      <c r="C560" s="64" t="s">
        <v>93</v>
      </c>
      <c r="D560" s="64" t="s">
        <v>6</v>
      </c>
      <c r="E560" s="64" t="s">
        <v>25</v>
      </c>
      <c r="F560" s="71" t="n">
        <f aca="false">Menu!D310</f>
        <v>150</v>
      </c>
      <c r="G560" s="64" t="s">
        <v>15</v>
      </c>
      <c r="H560" s="66" t="n">
        <f aca="false">F560/INDEX(Valeurs!$B$2:$B$40,MATCH(E560,Valeurs!$A$2:$A$40,0))*INDEX(Valeurs!$D$2:$D$40,MATCH(E560,Valeurs!$A$2:$A$40,0))</f>
        <v>172.5</v>
      </c>
      <c r="I560" s="72" t="n">
        <f aca="false">F560/INDEX(Valeurs!$B$2:$B$40,MATCH(E560,Valeurs!$A$2:$A$40,0))*INDEX(Valeurs!$E$2:$E$40,MATCH(E560,Valeurs!$A$2:$A$40,0))</f>
        <v>34.5</v>
      </c>
      <c r="J560" s="64" t="n">
        <v>2</v>
      </c>
    </row>
    <row r="561" customFormat="false" ht="15" hidden="false" customHeight="false" outlineLevel="0" collapsed="false">
      <c r="A561" s="70" t="n">
        <v>46308</v>
      </c>
      <c r="B561" s="64" t="s">
        <v>23</v>
      </c>
      <c r="C561" s="64" t="s">
        <v>93</v>
      </c>
      <c r="D561" s="64" t="s">
        <v>7</v>
      </c>
      <c r="E561" s="64" t="s">
        <v>25</v>
      </c>
      <c r="F561" s="71" t="n">
        <f aca="false">Menu!E310</f>
        <v>120</v>
      </c>
      <c r="G561" s="64" t="s">
        <v>15</v>
      </c>
      <c r="H561" s="66" t="n">
        <f aca="false">F561/INDEX(Valeurs!$B$2:$B$40,MATCH(E561,Valeurs!$A$2:$A$40,0))*INDEX(Valeurs!$D$2:$D$40,MATCH(E561,Valeurs!$A$2:$A$40,0))</f>
        <v>138</v>
      </c>
      <c r="I561" s="72" t="n">
        <f aca="false">F561/INDEX(Valeurs!$B$2:$B$40,MATCH(E561,Valeurs!$A$2:$A$40,0))*INDEX(Valeurs!$E$2:$E$40,MATCH(E561,Valeurs!$A$2:$A$40,0))</f>
        <v>27.6</v>
      </c>
      <c r="J561" s="64" t="n">
        <v>2</v>
      </c>
    </row>
    <row r="562" customFormat="false" ht="15" hidden="false" customHeight="false" outlineLevel="0" collapsed="false">
      <c r="A562" s="70" t="n">
        <v>46308</v>
      </c>
      <c r="B562" s="64" t="s">
        <v>23</v>
      </c>
      <c r="C562" s="64" t="s">
        <v>93</v>
      </c>
      <c r="D562" s="64" t="s">
        <v>6</v>
      </c>
      <c r="E562" s="64" t="s">
        <v>33</v>
      </c>
      <c r="F562" s="71" t="n">
        <f aca="false">Menu!D311</f>
        <v>150</v>
      </c>
      <c r="G562" s="64" t="s">
        <v>15</v>
      </c>
      <c r="H562" s="66" t="n">
        <f aca="false">F562/INDEX(Valeurs!$B$2:$B$40,MATCH(E562,Valeurs!$A$2:$A$40,0))*INDEX(Valeurs!$D$2:$D$40,MATCH(E562,Valeurs!$A$2:$A$40,0))</f>
        <v>25.5</v>
      </c>
      <c r="I562" s="72" t="n">
        <f aca="false">F562/INDEX(Valeurs!$B$2:$B$40,MATCH(E562,Valeurs!$A$2:$A$40,0))*INDEX(Valeurs!$E$2:$E$40,MATCH(E562,Valeurs!$A$2:$A$40,0))</f>
        <v>1.8</v>
      </c>
      <c r="J562" s="64" t="n">
        <v>2</v>
      </c>
    </row>
    <row r="563" customFormat="false" ht="15" hidden="false" customHeight="false" outlineLevel="0" collapsed="false">
      <c r="A563" s="70" t="n">
        <v>46308</v>
      </c>
      <c r="B563" s="64" t="s">
        <v>23</v>
      </c>
      <c r="C563" s="64" t="s">
        <v>93</v>
      </c>
      <c r="D563" s="64" t="s">
        <v>7</v>
      </c>
      <c r="E563" s="64" t="s">
        <v>33</v>
      </c>
      <c r="F563" s="71" t="n">
        <f aca="false">Menu!E311</f>
        <v>180</v>
      </c>
      <c r="G563" s="64" t="s">
        <v>15</v>
      </c>
      <c r="H563" s="66" t="n">
        <f aca="false">F563/INDEX(Valeurs!$B$2:$B$40,MATCH(E563,Valeurs!$A$2:$A$40,0))*INDEX(Valeurs!$D$2:$D$40,MATCH(E563,Valeurs!$A$2:$A$40,0))</f>
        <v>30.6</v>
      </c>
      <c r="I563" s="72" t="n">
        <f aca="false">F563/INDEX(Valeurs!$B$2:$B$40,MATCH(E563,Valeurs!$A$2:$A$40,0))*INDEX(Valeurs!$E$2:$E$40,MATCH(E563,Valeurs!$A$2:$A$40,0))</f>
        <v>2.16</v>
      </c>
      <c r="J563" s="64" t="n">
        <v>2</v>
      </c>
    </row>
    <row r="564" customFormat="false" ht="15" hidden="false" customHeight="false" outlineLevel="0" collapsed="false">
      <c r="A564" s="70" t="n">
        <v>46308</v>
      </c>
      <c r="B564" s="64" t="s">
        <v>23</v>
      </c>
      <c r="C564" s="64" t="s">
        <v>93</v>
      </c>
      <c r="D564" s="64" t="s">
        <v>6</v>
      </c>
      <c r="E564" s="64" t="s">
        <v>20</v>
      </c>
      <c r="F564" s="71" t="n">
        <f aca="false">Menu!D312</f>
        <v>80</v>
      </c>
      <c r="G564" s="64" t="s">
        <v>15</v>
      </c>
      <c r="H564" s="66" t="n">
        <f aca="false">F564/INDEX(Valeurs!$B$2:$B$40,MATCH(E564,Valeurs!$A$2:$A$40,0))*INDEX(Valeurs!$D$2:$D$40,MATCH(E564,Valeurs!$A$2:$A$40,0))</f>
        <v>14.4</v>
      </c>
      <c r="I564" s="72" t="n">
        <f aca="false">F564/INDEX(Valeurs!$B$2:$B$40,MATCH(E564,Valeurs!$A$2:$A$40,0))*INDEX(Valeurs!$E$2:$E$40,MATCH(E564,Valeurs!$A$2:$A$40,0))</f>
        <v>0.72</v>
      </c>
      <c r="J564" s="64" t="n">
        <v>2</v>
      </c>
    </row>
    <row r="565" customFormat="false" ht="15" hidden="false" customHeight="false" outlineLevel="0" collapsed="false">
      <c r="A565" s="70" t="n">
        <v>46308</v>
      </c>
      <c r="B565" s="64" t="s">
        <v>23</v>
      </c>
      <c r="C565" s="64" t="s">
        <v>93</v>
      </c>
      <c r="D565" s="64" t="s">
        <v>7</v>
      </c>
      <c r="E565" s="64" t="s">
        <v>20</v>
      </c>
      <c r="F565" s="71" t="n">
        <f aca="false">Menu!E312</f>
        <v>100</v>
      </c>
      <c r="G565" s="64" t="s">
        <v>15</v>
      </c>
      <c r="H565" s="66" t="n">
        <f aca="false">F565/INDEX(Valeurs!$B$2:$B$40,MATCH(E565,Valeurs!$A$2:$A$40,0))*INDEX(Valeurs!$D$2:$D$40,MATCH(E565,Valeurs!$A$2:$A$40,0))</f>
        <v>18</v>
      </c>
      <c r="I565" s="72" t="n">
        <f aca="false">F565/INDEX(Valeurs!$B$2:$B$40,MATCH(E565,Valeurs!$A$2:$A$40,0))*INDEX(Valeurs!$E$2:$E$40,MATCH(E565,Valeurs!$A$2:$A$40,0))</f>
        <v>0.9</v>
      </c>
      <c r="J565" s="64" t="n">
        <v>2</v>
      </c>
    </row>
    <row r="566" customFormat="false" ht="15" hidden="false" customHeight="false" outlineLevel="0" collapsed="false">
      <c r="A566" s="70" t="n">
        <v>46308</v>
      </c>
      <c r="B566" s="64" t="s">
        <v>23</v>
      </c>
      <c r="C566" s="64" t="s">
        <v>93</v>
      </c>
      <c r="D566" s="64" t="s">
        <v>6</v>
      </c>
      <c r="E566" s="64" t="s">
        <v>35</v>
      </c>
      <c r="F566" s="71" t="n">
        <f aca="false">Menu!D313</f>
        <v>30</v>
      </c>
      <c r="G566" s="64" t="s">
        <v>15</v>
      </c>
      <c r="H566" s="66" t="n">
        <f aca="false">F566/INDEX(Valeurs!$B$2:$B$40,MATCH(E566,Valeurs!$A$2:$A$40,0))*INDEX(Valeurs!$D$2:$D$40,MATCH(E566,Valeurs!$A$2:$A$40,0))</f>
        <v>12</v>
      </c>
      <c r="I566" s="72" t="n">
        <f aca="false">F566/INDEX(Valeurs!$B$2:$B$40,MATCH(E566,Valeurs!$A$2:$A$40,0))*INDEX(Valeurs!$E$2:$E$40,MATCH(E566,Valeurs!$A$2:$A$40,0))</f>
        <v>0.33</v>
      </c>
      <c r="J566" s="64" t="n">
        <v>2</v>
      </c>
    </row>
    <row r="567" customFormat="false" ht="15" hidden="false" customHeight="false" outlineLevel="0" collapsed="false">
      <c r="A567" s="70" t="n">
        <v>46308</v>
      </c>
      <c r="B567" s="64" t="s">
        <v>23</v>
      </c>
      <c r="C567" s="64" t="s">
        <v>93</v>
      </c>
      <c r="D567" s="64" t="s">
        <v>7</v>
      </c>
      <c r="E567" s="64" t="s">
        <v>35</v>
      </c>
      <c r="F567" s="71" t="n">
        <f aca="false">Menu!E313</f>
        <v>30</v>
      </c>
      <c r="G567" s="64" t="s">
        <v>15</v>
      </c>
      <c r="H567" s="66" t="n">
        <f aca="false">F567/INDEX(Valeurs!$B$2:$B$40,MATCH(E567,Valeurs!$A$2:$A$40,0))*INDEX(Valeurs!$D$2:$D$40,MATCH(E567,Valeurs!$A$2:$A$40,0))</f>
        <v>12</v>
      </c>
      <c r="I567" s="72" t="n">
        <f aca="false">F567/INDEX(Valeurs!$B$2:$B$40,MATCH(E567,Valeurs!$A$2:$A$40,0))*INDEX(Valeurs!$E$2:$E$40,MATCH(E567,Valeurs!$A$2:$A$40,0))</f>
        <v>0.33</v>
      </c>
      <c r="J567" s="64" t="n">
        <v>2</v>
      </c>
    </row>
    <row r="568" customFormat="false" ht="15" hidden="false" customHeight="false" outlineLevel="0" collapsed="false">
      <c r="A568" s="70" t="n">
        <v>46308</v>
      </c>
      <c r="B568" s="64" t="s">
        <v>23</v>
      </c>
      <c r="C568" s="64" t="s">
        <v>93</v>
      </c>
      <c r="D568" s="64" t="s">
        <v>6</v>
      </c>
      <c r="E568" s="64" t="s">
        <v>43</v>
      </c>
      <c r="F568" s="71" t="n">
        <f aca="false">Menu!D314</f>
        <v>85</v>
      </c>
      <c r="G568" s="64" t="s">
        <v>15</v>
      </c>
      <c r="H568" s="66" t="n">
        <f aca="false">F568/INDEX(Valeurs!$B$2:$B$40,MATCH(E568,Valeurs!$A$2:$A$40,0))*INDEX(Valeurs!$D$2:$D$40,MATCH(E568,Valeurs!$A$2:$A$40,0))</f>
        <v>301.75</v>
      </c>
      <c r="I568" s="72" t="n">
        <f aca="false">F568/INDEX(Valeurs!$B$2:$B$40,MATCH(E568,Valeurs!$A$2:$A$40,0))*INDEX(Valeurs!$E$2:$E$40,MATCH(E568,Valeurs!$A$2:$A$40,0))</f>
        <v>5.95</v>
      </c>
      <c r="J568" s="64" t="n">
        <v>2</v>
      </c>
    </row>
    <row r="569" customFormat="false" ht="15" hidden="false" customHeight="false" outlineLevel="0" collapsed="false">
      <c r="A569" s="70" t="n">
        <v>46308</v>
      </c>
      <c r="B569" s="64" t="s">
        <v>23</v>
      </c>
      <c r="C569" s="64" t="s">
        <v>93</v>
      </c>
      <c r="D569" s="64" t="s">
        <v>7</v>
      </c>
      <c r="E569" s="64" t="s">
        <v>43</v>
      </c>
      <c r="F569" s="71" t="n">
        <f aca="false">Menu!E314</f>
        <v>45</v>
      </c>
      <c r="G569" s="64" t="s">
        <v>15</v>
      </c>
      <c r="H569" s="66" t="n">
        <f aca="false">F569/INDEX(Valeurs!$B$2:$B$40,MATCH(E569,Valeurs!$A$2:$A$40,0))*INDEX(Valeurs!$D$2:$D$40,MATCH(E569,Valeurs!$A$2:$A$40,0))</f>
        <v>159.75</v>
      </c>
      <c r="I569" s="72" t="n">
        <f aca="false">F569/INDEX(Valeurs!$B$2:$B$40,MATCH(E569,Valeurs!$A$2:$A$40,0))*INDEX(Valeurs!$E$2:$E$40,MATCH(E569,Valeurs!$A$2:$A$40,0))</f>
        <v>3.15</v>
      </c>
      <c r="J569" s="64" t="n">
        <v>2</v>
      </c>
    </row>
    <row r="570" customFormat="false" ht="15" hidden="false" customHeight="false" outlineLevel="0" collapsed="false">
      <c r="A570" s="70" t="n">
        <v>46308</v>
      </c>
      <c r="B570" s="64" t="s">
        <v>23</v>
      </c>
      <c r="C570" s="64" t="s">
        <v>93</v>
      </c>
      <c r="D570" s="64" t="s">
        <v>6</v>
      </c>
      <c r="E570" s="64" t="s">
        <v>28</v>
      </c>
      <c r="F570" s="71" t="n">
        <f aca="false">Menu!D315</f>
        <v>10</v>
      </c>
      <c r="G570" s="64" t="s">
        <v>15</v>
      </c>
      <c r="H570" s="66" t="n">
        <f aca="false">F570/INDEX(Valeurs!$B$2:$B$40,MATCH(E570,Valeurs!$A$2:$A$40,0))*INDEX(Valeurs!$D$2:$D$40,MATCH(E570,Valeurs!$A$2:$A$40,0))</f>
        <v>90</v>
      </c>
      <c r="I570" s="72" t="n">
        <f aca="false">F570/INDEX(Valeurs!$B$2:$B$40,MATCH(E570,Valeurs!$A$2:$A$40,0))*INDEX(Valeurs!$E$2:$E$40,MATCH(E570,Valeurs!$A$2:$A$40,0))</f>
        <v>0</v>
      </c>
      <c r="J570" s="64" t="n">
        <v>2</v>
      </c>
    </row>
    <row r="571" customFormat="false" ht="15" hidden="false" customHeight="false" outlineLevel="0" collapsed="false">
      <c r="A571" s="70" t="n">
        <v>46308</v>
      </c>
      <c r="B571" s="64" t="s">
        <v>23</v>
      </c>
      <c r="C571" s="64" t="s">
        <v>93</v>
      </c>
      <c r="D571" s="64" t="s">
        <v>7</v>
      </c>
      <c r="E571" s="64" t="s">
        <v>28</v>
      </c>
      <c r="F571" s="71" t="n">
        <f aca="false">Menu!E315</f>
        <v>7</v>
      </c>
      <c r="G571" s="64" t="s">
        <v>15</v>
      </c>
      <c r="H571" s="66" t="n">
        <f aca="false">F571/INDEX(Valeurs!$B$2:$B$40,MATCH(E571,Valeurs!$A$2:$A$40,0))*INDEX(Valeurs!$D$2:$D$40,MATCH(E571,Valeurs!$A$2:$A$40,0))</f>
        <v>63</v>
      </c>
      <c r="I571" s="72" t="n">
        <f aca="false">F571/INDEX(Valeurs!$B$2:$B$40,MATCH(E571,Valeurs!$A$2:$A$40,0))*INDEX(Valeurs!$E$2:$E$40,MATCH(E571,Valeurs!$A$2:$A$40,0))</f>
        <v>0</v>
      </c>
      <c r="J571" s="64" t="n">
        <v>2</v>
      </c>
    </row>
    <row r="572" customFormat="false" ht="15" hidden="false" customHeight="false" outlineLevel="0" collapsed="false">
      <c r="A572" s="70" t="n">
        <v>46308</v>
      </c>
      <c r="B572" s="64" t="s">
        <v>29</v>
      </c>
      <c r="C572" s="64" t="s">
        <v>94</v>
      </c>
      <c r="D572" s="64" t="s">
        <v>6</v>
      </c>
      <c r="E572" s="64" t="s">
        <v>25</v>
      </c>
      <c r="F572" s="71" t="n">
        <f aca="false">Menu!D316</f>
        <v>130</v>
      </c>
      <c r="G572" s="64" t="s">
        <v>15</v>
      </c>
      <c r="H572" s="66" t="n">
        <f aca="false">F572/INDEX(Valeurs!$B$2:$B$40,MATCH(E572,Valeurs!$A$2:$A$40,0))*INDEX(Valeurs!$D$2:$D$40,MATCH(E572,Valeurs!$A$2:$A$40,0))</f>
        <v>149.5</v>
      </c>
      <c r="I572" s="72" t="n">
        <f aca="false">F572/INDEX(Valeurs!$B$2:$B$40,MATCH(E572,Valeurs!$A$2:$A$40,0))*INDEX(Valeurs!$E$2:$E$40,MATCH(E572,Valeurs!$A$2:$A$40,0))</f>
        <v>29.9</v>
      </c>
      <c r="J572" s="64" t="n">
        <v>2</v>
      </c>
    </row>
    <row r="573" customFormat="false" ht="15" hidden="false" customHeight="false" outlineLevel="0" collapsed="false">
      <c r="A573" s="70" t="n">
        <v>46308</v>
      </c>
      <c r="B573" s="64" t="s">
        <v>29</v>
      </c>
      <c r="C573" s="64" t="s">
        <v>94</v>
      </c>
      <c r="D573" s="64" t="s">
        <v>7</v>
      </c>
      <c r="E573" s="64" t="s">
        <v>25</v>
      </c>
      <c r="F573" s="71" t="n">
        <f aca="false">Menu!E316</f>
        <v>100</v>
      </c>
      <c r="G573" s="64" t="s">
        <v>15</v>
      </c>
      <c r="H573" s="66" t="n">
        <f aca="false">F573/INDEX(Valeurs!$B$2:$B$40,MATCH(E573,Valeurs!$A$2:$A$40,0))*INDEX(Valeurs!$D$2:$D$40,MATCH(E573,Valeurs!$A$2:$A$40,0))</f>
        <v>115</v>
      </c>
      <c r="I573" s="72" t="n">
        <f aca="false">F573/INDEX(Valeurs!$B$2:$B$40,MATCH(E573,Valeurs!$A$2:$A$40,0))*INDEX(Valeurs!$E$2:$E$40,MATCH(E573,Valeurs!$A$2:$A$40,0))</f>
        <v>23</v>
      </c>
      <c r="J573" s="64" t="n">
        <v>2</v>
      </c>
    </row>
    <row r="574" customFormat="false" ht="15" hidden="false" customHeight="false" outlineLevel="0" collapsed="false">
      <c r="A574" s="70" t="n">
        <v>46308</v>
      </c>
      <c r="B574" s="64" t="s">
        <v>29</v>
      </c>
      <c r="C574" s="64" t="s">
        <v>94</v>
      </c>
      <c r="D574" s="64" t="s">
        <v>6</v>
      </c>
      <c r="E574" s="64" t="s">
        <v>95</v>
      </c>
      <c r="F574" s="71" t="n">
        <f aca="false">Menu!D317</f>
        <v>2</v>
      </c>
      <c r="G574" s="64" t="s">
        <v>171</v>
      </c>
      <c r="H574" s="66" t="n">
        <f aca="false">F574/INDEX(Valeurs!$B$2:$B$40,MATCH(E574,Valeurs!$A$2:$A$40,0))*INDEX(Valeurs!$D$2:$D$40,MATCH(E574,Valeurs!$A$2:$A$40,0))</f>
        <v>372</v>
      </c>
      <c r="I574" s="72" t="n">
        <f aca="false">F574/INDEX(Valeurs!$B$2:$B$40,MATCH(E574,Valeurs!$A$2:$A$40,0))*INDEX(Valeurs!$E$2:$E$40,MATCH(E574,Valeurs!$A$2:$A$40,0))</f>
        <v>10</v>
      </c>
      <c r="J574" s="64" t="n">
        <v>2</v>
      </c>
    </row>
    <row r="575" customFormat="false" ht="15" hidden="false" customHeight="false" outlineLevel="0" collapsed="false">
      <c r="A575" s="70" t="n">
        <v>46308</v>
      </c>
      <c r="B575" s="64" t="s">
        <v>29</v>
      </c>
      <c r="C575" s="64" t="s">
        <v>94</v>
      </c>
      <c r="D575" s="64" t="s">
        <v>7</v>
      </c>
      <c r="E575" s="64" t="s">
        <v>95</v>
      </c>
      <c r="F575" s="71" t="n">
        <f aca="false">Menu!E317</f>
        <v>1</v>
      </c>
      <c r="G575" s="64" t="s">
        <v>171</v>
      </c>
      <c r="H575" s="66" t="n">
        <f aca="false">F575/INDEX(Valeurs!$B$2:$B$40,MATCH(E575,Valeurs!$A$2:$A$40,0))*INDEX(Valeurs!$D$2:$D$40,MATCH(E575,Valeurs!$A$2:$A$40,0))</f>
        <v>186</v>
      </c>
      <c r="I575" s="72" t="n">
        <f aca="false">F575/INDEX(Valeurs!$B$2:$B$40,MATCH(E575,Valeurs!$A$2:$A$40,0))*INDEX(Valeurs!$E$2:$E$40,MATCH(E575,Valeurs!$A$2:$A$40,0))</f>
        <v>5</v>
      </c>
      <c r="J575" s="64" t="n">
        <v>2</v>
      </c>
    </row>
    <row r="576" customFormat="false" ht="15" hidden="false" customHeight="false" outlineLevel="0" collapsed="false">
      <c r="A576" s="70" t="n">
        <v>46308</v>
      </c>
      <c r="B576" s="64" t="s">
        <v>29</v>
      </c>
      <c r="C576" s="64" t="s">
        <v>94</v>
      </c>
      <c r="D576" s="64" t="s">
        <v>6</v>
      </c>
      <c r="E576" s="64" t="s">
        <v>34</v>
      </c>
      <c r="F576" s="71" t="n">
        <f aca="false">Menu!D318</f>
        <v>60</v>
      </c>
      <c r="G576" s="64" t="s">
        <v>15</v>
      </c>
      <c r="H576" s="66" t="n">
        <f aca="false">F576/INDEX(Valeurs!$B$2:$B$40,MATCH(E576,Valeurs!$A$2:$A$40,0))*INDEX(Valeurs!$D$2:$D$40,MATCH(E576,Valeurs!$A$2:$A$40,0))</f>
        <v>16.2</v>
      </c>
      <c r="I576" s="72" t="n">
        <f aca="false">F576/INDEX(Valeurs!$B$2:$B$40,MATCH(E576,Valeurs!$A$2:$A$40,0))*INDEX(Valeurs!$E$2:$E$40,MATCH(E576,Valeurs!$A$2:$A$40,0))</f>
        <v>0.6</v>
      </c>
      <c r="J576" s="64" t="n">
        <v>2</v>
      </c>
    </row>
    <row r="577" customFormat="false" ht="15" hidden="false" customHeight="false" outlineLevel="0" collapsed="false">
      <c r="A577" s="70" t="n">
        <v>46308</v>
      </c>
      <c r="B577" s="64" t="s">
        <v>29</v>
      </c>
      <c r="C577" s="64" t="s">
        <v>94</v>
      </c>
      <c r="D577" s="64" t="s">
        <v>7</v>
      </c>
      <c r="E577" s="64" t="s">
        <v>34</v>
      </c>
      <c r="F577" s="71" t="n">
        <f aca="false">Menu!E318</f>
        <v>80</v>
      </c>
      <c r="G577" s="64" t="s">
        <v>15</v>
      </c>
      <c r="H577" s="66" t="n">
        <f aca="false">F577/INDEX(Valeurs!$B$2:$B$40,MATCH(E577,Valeurs!$A$2:$A$40,0))*INDEX(Valeurs!$D$2:$D$40,MATCH(E577,Valeurs!$A$2:$A$40,0))</f>
        <v>21.6</v>
      </c>
      <c r="I577" s="72" t="n">
        <f aca="false">F577/INDEX(Valeurs!$B$2:$B$40,MATCH(E577,Valeurs!$A$2:$A$40,0))*INDEX(Valeurs!$E$2:$E$40,MATCH(E577,Valeurs!$A$2:$A$40,0))</f>
        <v>0.8</v>
      </c>
      <c r="J577" s="64" t="n">
        <v>2</v>
      </c>
    </row>
    <row r="578" customFormat="false" ht="15" hidden="false" customHeight="false" outlineLevel="0" collapsed="false">
      <c r="A578" s="70" t="n">
        <v>46308</v>
      </c>
      <c r="B578" s="64" t="s">
        <v>29</v>
      </c>
      <c r="C578" s="64" t="s">
        <v>94</v>
      </c>
      <c r="D578" s="64" t="s">
        <v>6</v>
      </c>
      <c r="E578" s="64" t="s">
        <v>35</v>
      </c>
      <c r="F578" s="71" t="n">
        <f aca="false">Menu!D319</f>
        <v>30</v>
      </c>
      <c r="G578" s="64" t="s">
        <v>15</v>
      </c>
      <c r="H578" s="66" t="n">
        <f aca="false">F578/INDEX(Valeurs!$B$2:$B$40,MATCH(E578,Valeurs!$A$2:$A$40,0))*INDEX(Valeurs!$D$2:$D$40,MATCH(E578,Valeurs!$A$2:$A$40,0))</f>
        <v>12</v>
      </c>
      <c r="I578" s="72" t="n">
        <f aca="false">F578/INDEX(Valeurs!$B$2:$B$40,MATCH(E578,Valeurs!$A$2:$A$40,0))*INDEX(Valeurs!$E$2:$E$40,MATCH(E578,Valeurs!$A$2:$A$40,0))</f>
        <v>0.33</v>
      </c>
      <c r="J578" s="64" t="n">
        <v>2</v>
      </c>
    </row>
    <row r="579" customFormat="false" ht="15" hidden="false" customHeight="false" outlineLevel="0" collapsed="false">
      <c r="A579" s="70" t="n">
        <v>46308</v>
      </c>
      <c r="B579" s="64" t="s">
        <v>29</v>
      </c>
      <c r="C579" s="64" t="s">
        <v>94</v>
      </c>
      <c r="D579" s="64" t="s">
        <v>7</v>
      </c>
      <c r="E579" s="64" t="s">
        <v>35</v>
      </c>
      <c r="F579" s="71" t="n">
        <f aca="false">Menu!E319</f>
        <v>30</v>
      </c>
      <c r="G579" s="64" t="s">
        <v>15</v>
      </c>
      <c r="H579" s="66" t="n">
        <f aca="false">F579/INDEX(Valeurs!$B$2:$B$40,MATCH(E579,Valeurs!$A$2:$A$40,0))*INDEX(Valeurs!$D$2:$D$40,MATCH(E579,Valeurs!$A$2:$A$40,0))</f>
        <v>12</v>
      </c>
      <c r="I579" s="72" t="n">
        <f aca="false">F579/INDEX(Valeurs!$B$2:$B$40,MATCH(E579,Valeurs!$A$2:$A$40,0))*INDEX(Valeurs!$E$2:$E$40,MATCH(E579,Valeurs!$A$2:$A$40,0))</f>
        <v>0.33</v>
      </c>
      <c r="J579" s="64" t="n">
        <v>2</v>
      </c>
    </row>
    <row r="580" customFormat="false" ht="15" hidden="false" customHeight="false" outlineLevel="0" collapsed="false">
      <c r="A580" s="70" t="n">
        <v>46308</v>
      </c>
      <c r="B580" s="64" t="s">
        <v>29</v>
      </c>
      <c r="C580" s="64" t="s">
        <v>94</v>
      </c>
      <c r="D580" s="64" t="s">
        <v>6</v>
      </c>
      <c r="E580" s="64" t="s">
        <v>20</v>
      </c>
      <c r="F580" s="71" t="n">
        <f aca="false">Menu!D320</f>
        <v>60</v>
      </c>
      <c r="G580" s="64" t="s">
        <v>15</v>
      </c>
      <c r="H580" s="66" t="n">
        <f aca="false">F580/INDEX(Valeurs!$B$2:$B$40,MATCH(E580,Valeurs!$A$2:$A$40,0))*INDEX(Valeurs!$D$2:$D$40,MATCH(E580,Valeurs!$A$2:$A$40,0))</f>
        <v>10.8</v>
      </c>
      <c r="I580" s="72" t="n">
        <f aca="false">F580/INDEX(Valeurs!$B$2:$B$40,MATCH(E580,Valeurs!$A$2:$A$40,0))*INDEX(Valeurs!$E$2:$E$40,MATCH(E580,Valeurs!$A$2:$A$40,0))</f>
        <v>0.54</v>
      </c>
      <c r="J580" s="64" t="n">
        <v>2</v>
      </c>
    </row>
    <row r="581" customFormat="false" ht="15" hidden="false" customHeight="false" outlineLevel="0" collapsed="false">
      <c r="A581" s="70" t="n">
        <v>46308</v>
      </c>
      <c r="B581" s="64" t="s">
        <v>29</v>
      </c>
      <c r="C581" s="64" t="s">
        <v>94</v>
      </c>
      <c r="D581" s="64" t="s">
        <v>7</v>
      </c>
      <c r="E581" s="64" t="s">
        <v>20</v>
      </c>
      <c r="F581" s="71" t="n">
        <f aca="false">Menu!E320</f>
        <v>80</v>
      </c>
      <c r="G581" s="64" t="s">
        <v>15</v>
      </c>
      <c r="H581" s="66" t="n">
        <f aca="false">F581/INDEX(Valeurs!$B$2:$B$40,MATCH(E581,Valeurs!$A$2:$A$40,0))*INDEX(Valeurs!$D$2:$D$40,MATCH(E581,Valeurs!$A$2:$A$40,0))</f>
        <v>14.4</v>
      </c>
      <c r="I581" s="72" t="n">
        <f aca="false">F581/INDEX(Valeurs!$B$2:$B$40,MATCH(E581,Valeurs!$A$2:$A$40,0))*INDEX(Valeurs!$E$2:$E$40,MATCH(E581,Valeurs!$A$2:$A$40,0))</f>
        <v>0.72</v>
      </c>
      <c r="J581" s="64" t="n">
        <v>2</v>
      </c>
    </row>
    <row r="582" customFormat="false" ht="15" hidden="false" customHeight="false" outlineLevel="0" collapsed="false">
      <c r="A582" s="70" t="n">
        <v>46308</v>
      </c>
      <c r="B582" s="64" t="s">
        <v>29</v>
      </c>
      <c r="C582" s="64" t="s">
        <v>94</v>
      </c>
      <c r="D582" s="64" t="s">
        <v>6</v>
      </c>
      <c r="E582" s="64" t="s">
        <v>55</v>
      </c>
      <c r="F582" s="71" t="n">
        <f aca="false">Menu!D321</f>
        <v>15</v>
      </c>
      <c r="G582" s="64" t="s">
        <v>15</v>
      </c>
      <c r="H582" s="66" t="n">
        <f aca="false">F582/INDEX(Valeurs!$B$2:$B$40,MATCH(E582,Valeurs!$A$2:$A$40,0))*INDEX(Valeurs!$D$2:$D$40,MATCH(E582,Valeurs!$A$2:$A$40,0))</f>
        <v>61.5</v>
      </c>
      <c r="I582" s="72" t="n">
        <f aca="false">F582/INDEX(Valeurs!$B$2:$B$40,MATCH(E582,Valeurs!$A$2:$A$40,0))*INDEX(Valeurs!$E$2:$E$40,MATCH(E582,Valeurs!$A$2:$A$40,0))</f>
        <v>3.75</v>
      </c>
      <c r="J582" s="64" t="n">
        <v>2</v>
      </c>
    </row>
    <row r="583" customFormat="false" ht="15" hidden="false" customHeight="false" outlineLevel="0" collapsed="false">
      <c r="A583" s="70" t="n">
        <v>46308</v>
      </c>
      <c r="B583" s="64" t="s">
        <v>29</v>
      </c>
      <c r="C583" s="64" t="s">
        <v>94</v>
      </c>
      <c r="D583" s="64" t="s">
        <v>7</v>
      </c>
      <c r="E583" s="64" t="s">
        <v>55</v>
      </c>
      <c r="F583" s="71" t="n">
        <f aca="false">Menu!E321</f>
        <v>10</v>
      </c>
      <c r="G583" s="64" t="s">
        <v>15</v>
      </c>
      <c r="H583" s="66" t="n">
        <f aca="false">F583/INDEX(Valeurs!$B$2:$B$40,MATCH(E583,Valeurs!$A$2:$A$40,0))*INDEX(Valeurs!$D$2:$D$40,MATCH(E583,Valeurs!$A$2:$A$40,0))</f>
        <v>41</v>
      </c>
      <c r="I583" s="72" t="n">
        <f aca="false">F583/INDEX(Valeurs!$B$2:$B$40,MATCH(E583,Valeurs!$A$2:$A$40,0))*INDEX(Valeurs!$E$2:$E$40,MATCH(E583,Valeurs!$A$2:$A$40,0))</f>
        <v>2.5</v>
      </c>
      <c r="J583" s="64" t="n">
        <v>2</v>
      </c>
    </row>
    <row r="584" customFormat="false" ht="15" hidden="false" customHeight="false" outlineLevel="0" collapsed="false">
      <c r="A584" s="70" t="n">
        <v>46308</v>
      </c>
      <c r="B584" s="64" t="s">
        <v>29</v>
      </c>
      <c r="C584" s="64" t="s">
        <v>94</v>
      </c>
      <c r="D584" s="64" t="s">
        <v>6</v>
      </c>
      <c r="E584" s="64" t="s">
        <v>28</v>
      </c>
      <c r="F584" s="71" t="n">
        <f aca="false">Menu!D322</f>
        <v>8</v>
      </c>
      <c r="G584" s="64" t="s">
        <v>15</v>
      </c>
      <c r="H584" s="66" t="n">
        <f aca="false">F584/INDEX(Valeurs!$B$2:$B$40,MATCH(E584,Valeurs!$A$2:$A$40,0))*INDEX(Valeurs!$D$2:$D$40,MATCH(E584,Valeurs!$A$2:$A$40,0))</f>
        <v>72</v>
      </c>
      <c r="I584" s="72" t="n">
        <f aca="false">F584/INDEX(Valeurs!$B$2:$B$40,MATCH(E584,Valeurs!$A$2:$A$40,0))*INDEX(Valeurs!$E$2:$E$40,MATCH(E584,Valeurs!$A$2:$A$40,0))</f>
        <v>0</v>
      </c>
      <c r="J584" s="64" t="n">
        <v>2</v>
      </c>
    </row>
    <row r="585" customFormat="false" ht="15" hidden="false" customHeight="false" outlineLevel="0" collapsed="false">
      <c r="A585" s="70" t="n">
        <v>46308</v>
      </c>
      <c r="B585" s="64" t="s">
        <v>29</v>
      </c>
      <c r="C585" s="64" t="s">
        <v>94</v>
      </c>
      <c r="D585" s="64" t="s">
        <v>7</v>
      </c>
      <c r="E585" s="64" t="s">
        <v>28</v>
      </c>
      <c r="F585" s="71" t="n">
        <f aca="false">Menu!E322</f>
        <v>6</v>
      </c>
      <c r="G585" s="64" t="s">
        <v>15</v>
      </c>
      <c r="H585" s="66" t="n">
        <f aca="false">F585/INDEX(Valeurs!$B$2:$B$40,MATCH(E585,Valeurs!$A$2:$A$40,0))*INDEX(Valeurs!$D$2:$D$40,MATCH(E585,Valeurs!$A$2:$A$40,0))</f>
        <v>54</v>
      </c>
      <c r="I585" s="72" t="n">
        <f aca="false">F585/INDEX(Valeurs!$B$2:$B$40,MATCH(E585,Valeurs!$A$2:$A$40,0))*INDEX(Valeurs!$E$2:$E$40,MATCH(E585,Valeurs!$A$2:$A$40,0))</f>
        <v>0</v>
      </c>
      <c r="J585" s="64" t="n">
        <v>2</v>
      </c>
    </row>
    <row r="586" customFormat="false" ht="15" hidden="false" customHeight="false" outlineLevel="0" collapsed="false">
      <c r="A586" s="70" t="n">
        <v>46308</v>
      </c>
      <c r="B586" s="64" t="s">
        <v>36</v>
      </c>
      <c r="C586" s="64" t="s">
        <v>68</v>
      </c>
      <c r="D586" s="64" t="s">
        <v>6</v>
      </c>
      <c r="E586" s="64" t="s">
        <v>39</v>
      </c>
      <c r="F586" s="71" t="n">
        <f aca="false">Menu!D323</f>
        <v>15</v>
      </c>
      <c r="G586" s="64" t="s">
        <v>15</v>
      </c>
      <c r="H586" s="66" t="n">
        <f aca="false">F586/INDEX(Valeurs!$B$2:$B$40,MATCH(E586,Valeurs!$A$2:$A$40,0))*INDEX(Valeurs!$D$2:$D$40,MATCH(E586,Valeurs!$A$2:$A$40,0))</f>
        <v>87</v>
      </c>
      <c r="I586" s="72" t="n">
        <f aca="false">F586/INDEX(Valeurs!$B$2:$B$40,MATCH(E586,Valeurs!$A$2:$A$40,0))*INDEX(Valeurs!$E$2:$E$40,MATCH(E586,Valeurs!$A$2:$A$40,0))</f>
        <v>1.125</v>
      </c>
      <c r="J586" s="64" t="n">
        <v>2</v>
      </c>
    </row>
    <row r="587" customFormat="false" ht="15" hidden="false" customHeight="false" outlineLevel="0" collapsed="false">
      <c r="A587" s="70" t="n">
        <v>46308</v>
      </c>
      <c r="B587" s="64" t="s">
        <v>36</v>
      </c>
      <c r="C587" s="64" t="s">
        <v>68</v>
      </c>
      <c r="D587" s="64" t="s">
        <v>7</v>
      </c>
      <c r="E587" s="64" t="s">
        <v>39</v>
      </c>
      <c r="F587" s="71" t="n">
        <f aca="false">Menu!E323</f>
        <v>10</v>
      </c>
      <c r="G587" s="64" t="s">
        <v>15</v>
      </c>
      <c r="H587" s="66" t="n">
        <f aca="false">F587/INDEX(Valeurs!$B$2:$B$40,MATCH(E587,Valeurs!$A$2:$A$40,0))*INDEX(Valeurs!$D$2:$D$40,MATCH(E587,Valeurs!$A$2:$A$40,0))</f>
        <v>58</v>
      </c>
      <c r="I587" s="72" t="n">
        <f aca="false">F587/INDEX(Valeurs!$B$2:$B$40,MATCH(E587,Valeurs!$A$2:$A$40,0))*INDEX(Valeurs!$E$2:$E$40,MATCH(E587,Valeurs!$A$2:$A$40,0))</f>
        <v>0.75</v>
      </c>
      <c r="J587" s="64" t="n">
        <v>2</v>
      </c>
    </row>
    <row r="588" customFormat="false" ht="15" hidden="false" customHeight="false" outlineLevel="0" collapsed="false">
      <c r="A588" s="70" t="n">
        <v>46309</v>
      </c>
      <c r="B588" s="64" t="s">
        <v>10</v>
      </c>
      <c r="C588" s="64" t="s">
        <v>11</v>
      </c>
      <c r="D588" s="64" t="s">
        <v>6</v>
      </c>
      <c r="E588" s="64" t="s">
        <v>12</v>
      </c>
      <c r="F588" s="71" t="n">
        <f aca="false">Menu!D326</f>
        <v>250</v>
      </c>
      <c r="G588" s="64" t="s">
        <v>13</v>
      </c>
      <c r="H588" s="66" t="n">
        <f aca="false">F588/INDEX(Valeurs!$B$2:$B$40,MATCH(E588,Valeurs!$A$2:$A$40,0))*INDEX(Valeurs!$D$2:$D$40,MATCH(E588,Valeurs!$A$2:$A$40,0))</f>
        <v>115</v>
      </c>
      <c r="I588" s="72" t="n">
        <f aca="false">F588/INDEX(Valeurs!$B$2:$B$40,MATCH(E588,Valeurs!$A$2:$A$40,0))*INDEX(Valeurs!$E$2:$E$40,MATCH(E588,Valeurs!$A$2:$A$40,0))</f>
        <v>8.25</v>
      </c>
      <c r="J588" s="64" t="n">
        <v>2</v>
      </c>
    </row>
    <row r="589" customFormat="false" ht="15" hidden="false" customHeight="false" outlineLevel="0" collapsed="false">
      <c r="A589" s="70" t="n">
        <v>46309</v>
      </c>
      <c r="B589" s="64" t="s">
        <v>10</v>
      </c>
      <c r="C589" s="64" t="s">
        <v>11</v>
      </c>
      <c r="D589" s="64" t="s">
        <v>7</v>
      </c>
      <c r="E589" s="64" t="s">
        <v>12</v>
      </c>
      <c r="F589" s="71" t="n">
        <f aca="false">Menu!E326</f>
        <v>0</v>
      </c>
      <c r="G589" s="64" t="s">
        <v>13</v>
      </c>
      <c r="H589" s="66" t="n">
        <f aca="false">F589/INDEX(Valeurs!$B$2:$B$40,MATCH(E589,Valeurs!$A$2:$A$40,0))*INDEX(Valeurs!$D$2:$D$40,MATCH(E589,Valeurs!$A$2:$A$40,0))</f>
        <v>0</v>
      </c>
      <c r="I589" s="72" t="n">
        <f aca="false">F589/INDEX(Valeurs!$B$2:$B$40,MATCH(E589,Valeurs!$A$2:$A$40,0))*INDEX(Valeurs!$E$2:$E$40,MATCH(E589,Valeurs!$A$2:$A$40,0))</f>
        <v>0</v>
      </c>
      <c r="J589" s="64" t="n">
        <v>2</v>
      </c>
    </row>
    <row r="590" customFormat="false" ht="15" hidden="false" customHeight="false" outlineLevel="0" collapsed="false">
      <c r="A590" s="70" t="n">
        <v>46309</v>
      </c>
      <c r="B590" s="64" t="s">
        <v>10</v>
      </c>
      <c r="C590" s="64" t="s">
        <v>11</v>
      </c>
      <c r="D590" s="64" t="s">
        <v>6</v>
      </c>
      <c r="E590" s="64" t="s">
        <v>14</v>
      </c>
      <c r="F590" s="71" t="n">
        <f aca="false">Menu!D327</f>
        <v>100</v>
      </c>
      <c r="G590" s="64" t="s">
        <v>15</v>
      </c>
      <c r="H590" s="66" t="n">
        <f aca="false">F590/INDEX(Valeurs!$B$2:$B$40,MATCH(E590,Valeurs!$A$2:$A$40,0))*INDEX(Valeurs!$D$2:$D$40,MATCH(E590,Valeurs!$A$2:$A$40,0))</f>
        <v>90</v>
      </c>
      <c r="I590" s="72" t="n">
        <f aca="false">F590/INDEX(Valeurs!$B$2:$B$40,MATCH(E590,Valeurs!$A$2:$A$40,0))*INDEX(Valeurs!$E$2:$E$40,MATCH(E590,Valeurs!$A$2:$A$40,0))</f>
        <v>1.1</v>
      </c>
      <c r="J590" s="64" t="n">
        <v>2</v>
      </c>
    </row>
    <row r="591" customFormat="false" ht="15" hidden="false" customHeight="false" outlineLevel="0" collapsed="false">
      <c r="A591" s="70" t="n">
        <v>46309</v>
      </c>
      <c r="B591" s="64" t="s">
        <v>10</v>
      </c>
      <c r="C591" s="64" t="s">
        <v>11</v>
      </c>
      <c r="D591" s="64" t="s">
        <v>7</v>
      </c>
      <c r="E591" s="64" t="s">
        <v>14</v>
      </c>
      <c r="F591" s="71" t="n">
        <f aca="false">Menu!E327</f>
        <v>0</v>
      </c>
      <c r="G591" s="64" t="s">
        <v>15</v>
      </c>
      <c r="H591" s="66" t="n">
        <f aca="false">F591/INDEX(Valeurs!$B$2:$B$40,MATCH(E591,Valeurs!$A$2:$A$40,0))*INDEX(Valeurs!$D$2:$D$40,MATCH(E591,Valeurs!$A$2:$A$40,0))</f>
        <v>0</v>
      </c>
      <c r="I591" s="72" t="n">
        <f aca="false">F591/INDEX(Valeurs!$B$2:$B$40,MATCH(E591,Valeurs!$A$2:$A$40,0))*INDEX(Valeurs!$E$2:$E$40,MATCH(E591,Valeurs!$A$2:$A$40,0))</f>
        <v>0</v>
      </c>
      <c r="J591" s="64" t="n">
        <v>2</v>
      </c>
    </row>
    <row r="592" customFormat="false" ht="15" hidden="false" customHeight="false" outlineLevel="0" collapsed="false">
      <c r="A592" s="70" t="n">
        <v>46309</v>
      </c>
      <c r="B592" s="64" t="s">
        <v>10</v>
      </c>
      <c r="C592" s="64" t="s">
        <v>11</v>
      </c>
      <c r="D592" s="64" t="s">
        <v>6</v>
      </c>
      <c r="E592" s="64" t="s">
        <v>16</v>
      </c>
      <c r="F592" s="71" t="n">
        <f aca="false">Menu!D328</f>
        <v>65</v>
      </c>
      <c r="G592" s="64" t="s">
        <v>15</v>
      </c>
      <c r="H592" s="66" t="n">
        <f aca="false">F592/INDEX(Valeurs!$B$2:$B$40,MATCH(E592,Valeurs!$A$2:$A$40,0))*INDEX(Valeurs!$D$2:$D$40,MATCH(E592,Valeurs!$A$2:$A$40,0))</f>
        <v>241.8</v>
      </c>
      <c r="I592" s="72" t="n">
        <f aca="false">F592/INDEX(Valeurs!$B$2:$B$40,MATCH(E592,Valeurs!$A$2:$A$40,0))*INDEX(Valeurs!$E$2:$E$40,MATCH(E592,Valeurs!$A$2:$A$40,0))</f>
        <v>8.775</v>
      </c>
      <c r="J592" s="64" t="n">
        <v>2</v>
      </c>
    </row>
    <row r="593" customFormat="false" ht="15" hidden="false" customHeight="false" outlineLevel="0" collapsed="false">
      <c r="A593" s="70" t="n">
        <v>46309</v>
      </c>
      <c r="B593" s="64" t="s">
        <v>10</v>
      </c>
      <c r="C593" s="64" t="s">
        <v>11</v>
      </c>
      <c r="D593" s="64" t="s">
        <v>7</v>
      </c>
      <c r="E593" s="64" t="s">
        <v>16</v>
      </c>
      <c r="F593" s="71" t="n">
        <f aca="false">Menu!E328</f>
        <v>0</v>
      </c>
      <c r="G593" s="64" t="s">
        <v>15</v>
      </c>
      <c r="H593" s="66" t="n">
        <f aca="false">F593/INDEX(Valeurs!$B$2:$B$40,MATCH(E593,Valeurs!$A$2:$A$40,0))*INDEX(Valeurs!$D$2:$D$40,MATCH(E593,Valeurs!$A$2:$A$40,0))</f>
        <v>0</v>
      </c>
      <c r="I593" s="72" t="n">
        <f aca="false">F593/INDEX(Valeurs!$B$2:$B$40,MATCH(E593,Valeurs!$A$2:$A$40,0))*INDEX(Valeurs!$E$2:$E$40,MATCH(E593,Valeurs!$A$2:$A$40,0))</f>
        <v>0</v>
      </c>
      <c r="J593" s="64" t="n">
        <v>2</v>
      </c>
    </row>
    <row r="594" customFormat="false" ht="15" hidden="false" customHeight="false" outlineLevel="0" collapsed="false">
      <c r="A594" s="70" t="n">
        <v>46309</v>
      </c>
      <c r="B594" s="64" t="s">
        <v>10</v>
      </c>
      <c r="C594" s="64" t="s">
        <v>11</v>
      </c>
      <c r="D594" s="64" t="s">
        <v>6</v>
      </c>
      <c r="E594" s="64" t="s">
        <v>17</v>
      </c>
      <c r="F594" s="71" t="n">
        <f aca="false">Menu!D329</f>
        <v>1</v>
      </c>
      <c r="G594" s="64" t="s">
        <v>171</v>
      </c>
      <c r="H594" s="66" t="n">
        <f aca="false">F594/INDEX(Valeurs!$B$2:$B$40,MATCH(E594,Valeurs!$A$2:$A$40,0))*INDEX(Valeurs!$D$2:$D$40,MATCH(E594,Valeurs!$A$2:$A$40,0))</f>
        <v>87</v>
      </c>
      <c r="I594" s="72" t="n">
        <f aca="false">F594/INDEX(Valeurs!$B$2:$B$40,MATCH(E594,Valeurs!$A$2:$A$40,0))*INDEX(Valeurs!$E$2:$E$40,MATCH(E594,Valeurs!$A$2:$A$40,0))</f>
        <v>7.5</v>
      </c>
      <c r="J594" s="64" t="n">
        <v>2</v>
      </c>
    </row>
    <row r="595" customFormat="false" ht="15" hidden="false" customHeight="false" outlineLevel="0" collapsed="false">
      <c r="A595" s="70" t="n">
        <v>46309</v>
      </c>
      <c r="B595" s="64" t="s">
        <v>10</v>
      </c>
      <c r="C595" s="64" t="s">
        <v>11</v>
      </c>
      <c r="D595" s="64" t="s">
        <v>7</v>
      </c>
      <c r="E595" s="64" t="s">
        <v>17</v>
      </c>
      <c r="F595" s="71" t="n">
        <f aca="false">Menu!E329</f>
        <v>2</v>
      </c>
      <c r="G595" s="64" t="s">
        <v>171</v>
      </c>
      <c r="H595" s="66" t="n">
        <f aca="false">F595/INDEX(Valeurs!$B$2:$B$40,MATCH(E595,Valeurs!$A$2:$A$40,0))*INDEX(Valeurs!$D$2:$D$40,MATCH(E595,Valeurs!$A$2:$A$40,0))</f>
        <v>174</v>
      </c>
      <c r="I595" s="72" t="n">
        <f aca="false">F595/INDEX(Valeurs!$B$2:$B$40,MATCH(E595,Valeurs!$A$2:$A$40,0))*INDEX(Valeurs!$E$2:$E$40,MATCH(E595,Valeurs!$A$2:$A$40,0))</f>
        <v>15</v>
      </c>
      <c r="J595" s="64" t="n">
        <v>2</v>
      </c>
    </row>
    <row r="596" customFormat="false" ht="15" hidden="false" customHeight="false" outlineLevel="0" collapsed="false">
      <c r="A596" s="70" t="n">
        <v>46309</v>
      </c>
      <c r="B596" s="64" t="s">
        <v>10</v>
      </c>
      <c r="C596" s="64" t="s">
        <v>11</v>
      </c>
      <c r="D596" s="64" t="s">
        <v>6</v>
      </c>
      <c r="E596" s="64" t="s">
        <v>19</v>
      </c>
      <c r="F596" s="71" t="n">
        <f aca="false">Menu!D330</f>
        <v>0</v>
      </c>
      <c r="G596" s="64" t="s">
        <v>15</v>
      </c>
      <c r="H596" s="66" t="n">
        <f aca="false">F596/INDEX(Valeurs!$B$2:$B$40,MATCH(E596,Valeurs!$A$2:$A$40,0))*INDEX(Valeurs!$D$2:$D$40,MATCH(E596,Valeurs!$A$2:$A$40,0))</f>
        <v>0</v>
      </c>
      <c r="I596" s="72" t="n">
        <f aca="false">F596/INDEX(Valeurs!$B$2:$B$40,MATCH(E596,Valeurs!$A$2:$A$40,0))*INDEX(Valeurs!$E$2:$E$40,MATCH(E596,Valeurs!$A$2:$A$40,0))</f>
        <v>0</v>
      </c>
      <c r="J596" s="64" t="n">
        <v>2</v>
      </c>
    </row>
    <row r="597" customFormat="false" ht="15" hidden="false" customHeight="false" outlineLevel="0" collapsed="false">
      <c r="A597" s="70" t="n">
        <v>46309</v>
      </c>
      <c r="B597" s="64" t="s">
        <v>10</v>
      </c>
      <c r="C597" s="64" t="s">
        <v>11</v>
      </c>
      <c r="D597" s="64" t="s">
        <v>7</v>
      </c>
      <c r="E597" s="64" t="s">
        <v>19</v>
      </c>
      <c r="F597" s="71" t="n">
        <f aca="false">Menu!E330</f>
        <v>30</v>
      </c>
      <c r="G597" s="64" t="s">
        <v>15</v>
      </c>
      <c r="H597" s="66" t="n">
        <f aca="false">F597/INDEX(Valeurs!$B$2:$B$40,MATCH(E597,Valeurs!$A$2:$A$40,0))*INDEX(Valeurs!$D$2:$D$40,MATCH(E597,Valeurs!$A$2:$A$40,0))</f>
        <v>33</v>
      </c>
      <c r="I597" s="72" t="n">
        <f aca="false">F597/INDEX(Valeurs!$B$2:$B$40,MATCH(E597,Valeurs!$A$2:$A$40,0))*INDEX(Valeurs!$E$2:$E$40,MATCH(E597,Valeurs!$A$2:$A$40,0))</f>
        <v>6</v>
      </c>
      <c r="J597" s="64" t="n">
        <v>2</v>
      </c>
    </row>
    <row r="598" customFormat="false" ht="15" hidden="false" customHeight="false" outlineLevel="0" collapsed="false">
      <c r="A598" s="70" t="n">
        <v>46309</v>
      </c>
      <c r="B598" s="64" t="s">
        <v>10</v>
      </c>
      <c r="C598" s="64" t="s">
        <v>11</v>
      </c>
      <c r="D598" s="64" t="s">
        <v>6</v>
      </c>
      <c r="E598" s="64" t="s">
        <v>20</v>
      </c>
      <c r="F598" s="71" t="n">
        <f aca="false">Menu!D331</f>
        <v>0</v>
      </c>
      <c r="G598" s="64" t="s">
        <v>15</v>
      </c>
      <c r="H598" s="66" t="n">
        <f aca="false">F598/INDEX(Valeurs!$B$2:$B$40,MATCH(E598,Valeurs!$A$2:$A$40,0))*INDEX(Valeurs!$D$2:$D$40,MATCH(E598,Valeurs!$A$2:$A$40,0))</f>
        <v>0</v>
      </c>
      <c r="I598" s="72" t="n">
        <f aca="false">F598/INDEX(Valeurs!$B$2:$B$40,MATCH(E598,Valeurs!$A$2:$A$40,0))*INDEX(Valeurs!$E$2:$E$40,MATCH(E598,Valeurs!$A$2:$A$40,0))</f>
        <v>0</v>
      </c>
      <c r="J598" s="64" t="n">
        <v>2</v>
      </c>
    </row>
    <row r="599" customFormat="false" ht="15" hidden="false" customHeight="false" outlineLevel="0" collapsed="false">
      <c r="A599" s="70" t="n">
        <v>46309</v>
      </c>
      <c r="B599" s="64" t="s">
        <v>10</v>
      </c>
      <c r="C599" s="64" t="s">
        <v>11</v>
      </c>
      <c r="D599" s="64" t="s">
        <v>7</v>
      </c>
      <c r="E599" s="64" t="s">
        <v>20</v>
      </c>
      <c r="F599" s="71" t="n">
        <f aca="false">Menu!E331</f>
        <v>80</v>
      </c>
      <c r="G599" s="64" t="s">
        <v>15</v>
      </c>
      <c r="H599" s="66" t="n">
        <f aca="false">F599/INDEX(Valeurs!$B$2:$B$40,MATCH(E599,Valeurs!$A$2:$A$40,0))*INDEX(Valeurs!$D$2:$D$40,MATCH(E599,Valeurs!$A$2:$A$40,0))</f>
        <v>14.4</v>
      </c>
      <c r="I599" s="72" t="n">
        <f aca="false">F599/INDEX(Valeurs!$B$2:$B$40,MATCH(E599,Valeurs!$A$2:$A$40,0))*INDEX(Valeurs!$E$2:$E$40,MATCH(E599,Valeurs!$A$2:$A$40,0))</f>
        <v>0.72</v>
      </c>
      <c r="J599" s="64" t="n">
        <v>2</v>
      </c>
    </row>
    <row r="600" customFormat="false" ht="15" hidden="false" customHeight="false" outlineLevel="0" collapsed="false">
      <c r="A600" s="70" t="n">
        <v>46309</v>
      </c>
      <c r="B600" s="64" t="s">
        <v>10</v>
      </c>
      <c r="C600" s="64" t="s">
        <v>11</v>
      </c>
      <c r="D600" s="64" t="s">
        <v>6</v>
      </c>
      <c r="E600" s="64" t="s">
        <v>21</v>
      </c>
      <c r="F600" s="71" t="n">
        <f aca="false">Menu!D332</f>
        <v>0</v>
      </c>
      <c r="G600" s="64" t="s">
        <v>15</v>
      </c>
      <c r="H600" s="66" t="n">
        <f aca="false">F600/INDEX(Valeurs!$B$2:$B$40,MATCH(E600,Valeurs!$A$2:$A$40,0))*INDEX(Valeurs!$D$2:$D$40,MATCH(E600,Valeurs!$A$2:$A$40,0))</f>
        <v>0</v>
      </c>
      <c r="I600" s="72" t="n">
        <f aca="false">F600/INDEX(Valeurs!$B$2:$B$40,MATCH(E600,Valeurs!$A$2:$A$40,0))*INDEX(Valeurs!$E$2:$E$40,MATCH(E600,Valeurs!$A$2:$A$40,0))</f>
        <v>0</v>
      </c>
      <c r="J600" s="64" t="n">
        <v>2</v>
      </c>
    </row>
    <row r="601" customFormat="false" ht="15" hidden="false" customHeight="false" outlineLevel="0" collapsed="false">
      <c r="A601" s="70" t="n">
        <v>46309</v>
      </c>
      <c r="B601" s="64" t="s">
        <v>10</v>
      </c>
      <c r="C601" s="64" t="s">
        <v>11</v>
      </c>
      <c r="D601" s="64" t="s">
        <v>7</v>
      </c>
      <c r="E601" s="64" t="s">
        <v>21</v>
      </c>
      <c r="F601" s="71" t="n">
        <f aca="false">Menu!E332</f>
        <v>40</v>
      </c>
      <c r="G601" s="64" t="s">
        <v>15</v>
      </c>
      <c r="H601" s="66" t="n">
        <f aca="false">F601/INDEX(Valeurs!$B$2:$B$40,MATCH(E601,Valeurs!$A$2:$A$40,0))*INDEX(Valeurs!$D$2:$D$40,MATCH(E601,Valeurs!$A$2:$A$40,0))</f>
        <v>96</v>
      </c>
      <c r="I601" s="72" t="n">
        <f aca="false">F601/INDEX(Valeurs!$B$2:$B$40,MATCH(E601,Valeurs!$A$2:$A$40,0))*INDEX(Valeurs!$E$2:$E$40,MATCH(E601,Valeurs!$A$2:$A$40,0))</f>
        <v>3.6</v>
      </c>
      <c r="J601" s="64" t="n">
        <v>2</v>
      </c>
    </row>
    <row r="602" customFormat="false" ht="15" hidden="false" customHeight="false" outlineLevel="0" collapsed="false">
      <c r="A602" s="70" t="n">
        <v>46309</v>
      </c>
      <c r="B602" s="64" t="s">
        <v>10</v>
      </c>
      <c r="C602" s="64" t="s">
        <v>11</v>
      </c>
      <c r="D602" s="64" t="s">
        <v>6</v>
      </c>
      <c r="E602" s="64" t="s">
        <v>22</v>
      </c>
      <c r="F602" s="71" t="n">
        <f aca="false">Menu!D333</f>
        <v>0</v>
      </c>
      <c r="G602" s="64" t="s">
        <v>15</v>
      </c>
      <c r="H602" s="66" t="n">
        <f aca="false">F602/INDEX(Valeurs!$B$2:$B$40,MATCH(E602,Valeurs!$A$2:$A$40,0))*INDEX(Valeurs!$D$2:$D$40,MATCH(E602,Valeurs!$A$2:$A$40,0))</f>
        <v>0</v>
      </c>
      <c r="I602" s="72" t="n">
        <f aca="false">F602/INDEX(Valeurs!$B$2:$B$40,MATCH(E602,Valeurs!$A$2:$A$40,0))*INDEX(Valeurs!$E$2:$E$40,MATCH(E602,Valeurs!$A$2:$A$40,0))</f>
        <v>0</v>
      </c>
      <c r="J602" s="64" t="n">
        <v>2</v>
      </c>
    </row>
    <row r="603" customFormat="false" ht="15" hidden="false" customHeight="false" outlineLevel="0" collapsed="false">
      <c r="A603" s="70" t="n">
        <v>46309</v>
      </c>
      <c r="B603" s="64" t="s">
        <v>10</v>
      </c>
      <c r="C603" s="64" t="s">
        <v>11</v>
      </c>
      <c r="D603" s="64" t="s">
        <v>7</v>
      </c>
      <c r="E603" s="64" t="s">
        <v>22</v>
      </c>
      <c r="F603" s="71" t="n">
        <f aca="false">Menu!E333</f>
        <v>150</v>
      </c>
      <c r="G603" s="64" t="s">
        <v>15</v>
      </c>
      <c r="H603" s="66" t="n">
        <f aca="false">F603/INDEX(Valeurs!$B$2:$B$40,MATCH(E603,Valeurs!$A$2:$A$40,0))*INDEX(Valeurs!$D$2:$D$40,MATCH(E603,Valeurs!$A$2:$A$40,0))</f>
        <v>78</v>
      </c>
      <c r="I603" s="72" t="n">
        <f aca="false">F603/INDEX(Valeurs!$B$2:$B$40,MATCH(E603,Valeurs!$A$2:$A$40,0))*INDEX(Valeurs!$E$2:$E$40,MATCH(E603,Valeurs!$A$2:$A$40,0))</f>
        <v>0.45</v>
      </c>
      <c r="J603" s="64" t="n">
        <v>2</v>
      </c>
    </row>
    <row r="604" customFormat="false" ht="15" hidden="false" customHeight="false" outlineLevel="0" collapsed="false">
      <c r="A604" s="70" t="n">
        <v>46309</v>
      </c>
      <c r="B604" s="64" t="s">
        <v>23</v>
      </c>
      <c r="C604" s="64" t="s">
        <v>97</v>
      </c>
      <c r="D604" s="64" t="s">
        <v>6</v>
      </c>
      <c r="E604" s="64" t="s">
        <v>31</v>
      </c>
      <c r="F604" s="71" t="n">
        <f aca="false">Menu!D334</f>
        <v>150</v>
      </c>
      <c r="G604" s="64" t="s">
        <v>15</v>
      </c>
      <c r="H604" s="66" t="n">
        <f aca="false">F604/INDEX(Valeurs!$B$2:$B$40,MATCH(E604,Valeurs!$A$2:$A$40,0))*INDEX(Valeurs!$D$2:$D$40,MATCH(E604,Valeurs!$A$2:$A$40,0))</f>
        <v>120</v>
      </c>
      <c r="I604" s="72" t="n">
        <f aca="false">F604/INDEX(Valeurs!$B$2:$B$40,MATCH(E604,Valeurs!$A$2:$A$40,0))*INDEX(Valeurs!$E$2:$E$40,MATCH(E604,Valeurs!$A$2:$A$40,0))</f>
        <v>25.5</v>
      </c>
      <c r="J604" s="64" t="n">
        <v>2</v>
      </c>
    </row>
    <row r="605" customFormat="false" ht="15" hidden="false" customHeight="false" outlineLevel="0" collapsed="false">
      <c r="A605" s="70" t="n">
        <v>46309</v>
      </c>
      <c r="B605" s="64" t="s">
        <v>23</v>
      </c>
      <c r="C605" s="64" t="s">
        <v>97</v>
      </c>
      <c r="D605" s="64" t="s">
        <v>7</v>
      </c>
      <c r="E605" s="64" t="s">
        <v>31</v>
      </c>
      <c r="F605" s="71" t="n">
        <f aca="false">Menu!E334</f>
        <v>125</v>
      </c>
      <c r="G605" s="64" t="s">
        <v>15</v>
      </c>
      <c r="H605" s="66" t="n">
        <f aca="false">F605/INDEX(Valeurs!$B$2:$B$40,MATCH(E605,Valeurs!$A$2:$A$40,0))*INDEX(Valeurs!$D$2:$D$40,MATCH(E605,Valeurs!$A$2:$A$40,0))</f>
        <v>100</v>
      </c>
      <c r="I605" s="72" t="n">
        <f aca="false">F605/INDEX(Valeurs!$B$2:$B$40,MATCH(E605,Valeurs!$A$2:$A$40,0))*INDEX(Valeurs!$E$2:$E$40,MATCH(E605,Valeurs!$A$2:$A$40,0))</f>
        <v>21.25</v>
      </c>
      <c r="J605" s="64" t="n">
        <v>2</v>
      </c>
    </row>
    <row r="606" customFormat="false" ht="15" hidden="false" customHeight="false" outlineLevel="0" collapsed="false">
      <c r="A606" s="70" t="n">
        <v>46309</v>
      </c>
      <c r="B606" s="64" t="s">
        <v>23</v>
      </c>
      <c r="C606" s="64" t="s">
        <v>97</v>
      </c>
      <c r="D606" s="64" t="s">
        <v>6</v>
      </c>
      <c r="E606" s="64" t="s">
        <v>20</v>
      </c>
      <c r="F606" s="71" t="n">
        <f aca="false">Menu!D335</f>
        <v>150</v>
      </c>
      <c r="G606" s="64" t="s">
        <v>15</v>
      </c>
      <c r="H606" s="66" t="n">
        <f aca="false">F606/INDEX(Valeurs!$B$2:$B$40,MATCH(E606,Valeurs!$A$2:$A$40,0))*INDEX(Valeurs!$D$2:$D$40,MATCH(E606,Valeurs!$A$2:$A$40,0))</f>
        <v>27</v>
      </c>
      <c r="I606" s="72" t="n">
        <f aca="false">F606/INDEX(Valeurs!$B$2:$B$40,MATCH(E606,Valeurs!$A$2:$A$40,0))*INDEX(Valeurs!$E$2:$E$40,MATCH(E606,Valeurs!$A$2:$A$40,0))</f>
        <v>1.35</v>
      </c>
      <c r="J606" s="64" t="n">
        <v>2</v>
      </c>
    </row>
    <row r="607" customFormat="false" ht="15" hidden="false" customHeight="false" outlineLevel="0" collapsed="false">
      <c r="A607" s="70" t="n">
        <v>46309</v>
      </c>
      <c r="B607" s="64" t="s">
        <v>23</v>
      </c>
      <c r="C607" s="64" t="s">
        <v>97</v>
      </c>
      <c r="D607" s="64" t="s">
        <v>7</v>
      </c>
      <c r="E607" s="64" t="s">
        <v>20</v>
      </c>
      <c r="F607" s="71" t="n">
        <f aca="false">Menu!E335</f>
        <v>180</v>
      </c>
      <c r="G607" s="64" t="s">
        <v>15</v>
      </c>
      <c r="H607" s="66" t="n">
        <f aca="false">F607/INDEX(Valeurs!$B$2:$B$40,MATCH(E607,Valeurs!$A$2:$A$40,0))*INDEX(Valeurs!$D$2:$D$40,MATCH(E607,Valeurs!$A$2:$A$40,0))</f>
        <v>32.4</v>
      </c>
      <c r="I607" s="72" t="n">
        <f aca="false">F607/INDEX(Valeurs!$B$2:$B$40,MATCH(E607,Valeurs!$A$2:$A$40,0))*INDEX(Valeurs!$E$2:$E$40,MATCH(E607,Valeurs!$A$2:$A$40,0))</f>
        <v>1.62</v>
      </c>
      <c r="J607" s="64" t="n">
        <v>2</v>
      </c>
    </row>
    <row r="608" customFormat="false" ht="15" hidden="false" customHeight="false" outlineLevel="0" collapsed="false">
      <c r="A608" s="70" t="n">
        <v>46309</v>
      </c>
      <c r="B608" s="64" t="s">
        <v>23</v>
      </c>
      <c r="C608" s="64" t="s">
        <v>97</v>
      </c>
      <c r="D608" s="64" t="s">
        <v>6</v>
      </c>
      <c r="E608" s="64" t="s">
        <v>35</v>
      </c>
      <c r="F608" s="71" t="n">
        <f aca="false">Menu!D336</f>
        <v>40</v>
      </c>
      <c r="G608" s="64" t="s">
        <v>15</v>
      </c>
      <c r="H608" s="66" t="n">
        <f aca="false">F608/INDEX(Valeurs!$B$2:$B$40,MATCH(E608,Valeurs!$A$2:$A$40,0))*INDEX(Valeurs!$D$2:$D$40,MATCH(E608,Valeurs!$A$2:$A$40,0))</f>
        <v>16</v>
      </c>
      <c r="I608" s="72" t="n">
        <f aca="false">F608/INDEX(Valeurs!$B$2:$B$40,MATCH(E608,Valeurs!$A$2:$A$40,0))*INDEX(Valeurs!$E$2:$E$40,MATCH(E608,Valeurs!$A$2:$A$40,0))</f>
        <v>0.44</v>
      </c>
      <c r="J608" s="64" t="n">
        <v>2</v>
      </c>
    </row>
    <row r="609" customFormat="false" ht="15" hidden="false" customHeight="false" outlineLevel="0" collapsed="false">
      <c r="A609" s="70" t="n">
        <v>46309</v>
      </c>
      <c r="B609" s="64" t="s">
        <v>23</v>
      </c>
      <c r="C609" s="64" t="s">
        <v>97</v>
      </c>
      <c r="D609" s="64" t="s">
        <v>7</v>
      </c>
      <c r="E609" s="64" t="s">
        <v>35</v>
      </c>
      <c r="F609" s="71" t="n">
        <f aca="false">Menu!E336</f>
        <v>40</v>
      </c>
      <c r="G609" s="64" t="s">
        <v>15</v>
      </c>
      <c r="H609" s="66" t="n">
        <f aca="false">F609/INDEX(Valeurs!$B$2:$B$40,MATCH(E609,Valeurs!$A$2:$A$40,0))*INDEX(Valeurs!$D$2:$D$40,MATCH(E609,Valeurs!$A$2:$A$40,0))</f>
        <v>16</v>
      </c>
      <c r="I609" s="72" t="n">
        <f aca="false">F609/INDEX(Valeurs!$B$2:$B$40,MATCH(E609,Valeurs!$A$2:$A$40,0))*INDEX(Valeurs!$E$2:$E$40,MATCH(E609,Valeurs!$A$2:$A$40,0))</f>
        <v>0.44</v>
      </c>
      <c r="J609" s="64" t="n">
        <v>2</v>
      </c>
    </row>
    <row r="610" customFormat="false" ht="15" hidden="false" customHeight="false" outlineLevel="0" collapsed="false">
      <c r="A610" s="70" t="n">
        <v>46309</v>
      </c>
      <c r="B610" s="64" t="s">
        <v>23</v>
      </c>
      <c r="C610" s="64" t="s">
        <v>97</v>
      </c>
      <c r="D610" s="64" t="s">
        <v>6</v>
      </c>
      <c r="E610" s="64" t="s">
        <v>43</v>
      </c>
      <c r="F610" s="71" t="n">
        <f aca="false">Menu!D337</f>
        <v>85</v>
      </c>
      <c r="G610" s="64" t="s">
        <v>15</v>
      </c>
      <c r="H610" s="66" t="n">
        <f aca="false">F610/INDEX(Valeurs!$B$2:$B$40,MATCH(E610,Valeurs!$A$2:$A$40,0))*INDEX(Valeurs!$D$2:$D$40,MATCH(E610,Valeurs!$A$2:$A$40,0))</f>
        <v>301.75</v>
      </c>
      <c r="I610" s="72" t="n">
        <f aca="false">F610/INDEX(Valeurs!$B$2:$B$40,MATCH(E610,Valeurs!$A$2:$A$40,0))*INDEX(Valeurs!$E$2:$E$40,MATCH(E610,Valeurs!$A$2:$A$40,0))</f>
        <v>5.95</v>
      </c>
      <c r="J610" s="64" t="n">
        <v>2</v>
      </c>
    </row>
    <row r="611" customFormat="false" ht="15" hidden="false" customHeight="false" outlineLevel="0" collapsed="false">
      <c r="A611" s="70" t="n">
        <v>46309</v>
      </c>
      <c r="B611" s="64" t="s">
        <v>23</v>
      </c>
      <c r="C611" s="64" t="s">
        <v>97</v>
      </c>
      <c r="D611" s="64" t="s">
        <v>7</v>
      </c>
      <c r="E611" s="64" t="s">
        <v>43</v>
      </c>
      <c r="F611" s="71" t="n">
        <f aca="false">Menu!E337</f>
        <v>45</v>
      </c>
      <c r="G611" s="64" t="s">
        <v>15</v>
      </c>
      <c r="H611" s="66" t="n">
        <f aca="false">F611/INDEX(Valeurs!$B$2:$B$40,MATCH(E611,Valeurs!$A$2:$A$40,0))*INDEX(Valeurs!$D$2:$D$40,MATCH(E611,Valeurs!$A$2:$A$40,0))</f>
        <v>159.75</v>
      </c>
      <c r="I611" s="72" t="n">
        <f aca="false">F611/INDEX(Valeurs!$B$2:$B$40,MATCH(E611,Valeurs!$A$2:$A$40,0))*INDEX(Valeurs!$E$2:$E$40,MATCH(E611,Valeurs!$A$2:$A$40,0))</f>
        <v>3.15</v>
      </c>
      <c r="J611" s="64" t="n">
        <v>2</v>
      </c>
    </row>
    <row r="612" customFormat="false" ht="15" hidden="false" customHeight="false" outlineLevel="0" collapsed="false">
      <c r="A612" s="70" t="n">
        <v>46309</v>
      </c>
      <c r="B612" s="64" t="s">
        <v>23</v>
      </c>
      <c r="C612" s="64" t="s">
        <v>97</v>
      </c>
      <c r="D612" s="64" t="s">
        <v>6</v>
      </c>
      <c r="E612" s="64" t="s">
        <v>27</v>
      </c>
      <c r="F612" s="71" t="n">
        <f aca="false">Menu!D338</f>
        <v>150</v>
      </c>
      <c r="G612" s="64" t="s">
        <v>15</v>
      </c>
      <c r="H612" s="66" t="n">
        <f aca="false">F612/INDEX(Valeurs!$B$2:$B$40,MATCH(E612,Valeurs!$A$2:$A$40,0))*INDEX(Valeurs!$D$2:$D$40,MATCH(E612,Valeurs!$A$2:$A$40,0))</f>
        <v>46.5</v>
      </c>
      <c r="I612" s="72" t="n">
        <f aca="false">F612/INDEX(Valeurs!$B$2:$B$40,MATCH(E612,Valeurs!$A$2:$A$40,0))*INDEX(Valeurs!$E$2:$E$40,MATCH(E612,Valeurs!$A$2:$A$40,0))</f>
        <v>2.7</v>
      </c>
      <c r="J612" s="64" t="n">
        <v>2</v>
      </c>
    </row>
    <row r="613" customFormat="false" ht="15" hidden="false" customHeight="false" outlineLevel="0" collapsed="false">
      <c r="A613" s="70" t="n">
        <v>46309</v>
      </c>
      <c r="B613" s="64" t="s">
        <v>23</v>
      </c>
      <c r="C613" s="64" t="s">
        <v>97</v>
      </c>
      <c r="D613" s="64" t="s">
        <v>7</v>
      </c>
      <c r="E613" s="64" t="s">
        <v>27</v>
      </c>
      <c r="F613" s="71" t="n">
        <f aca="false">Menu!E338</f>
        <v>200</v>
      </c>
      <c r="G613" s="64" t="s">
        <v>15</v>
      </c>
      <c r="H613" s="66" t="n">
        <f aca="false">F613/INDEX(Valeurs!$B$2:$B$40,MATCH(E613,Valeurs!$A$2:$A$40,0))*INDEX(Valeurs!$D$2:$D$40,MATCH(E613,Valeurs!$A$2:$A$40,0))</f>
        <v>62</v>
      </c>
      <c r="I613" s="72" t="n">
        <f aca="false">F613/INDEX(Valeurs!$B$2:$B$40,MATCH(E613,Valeurs!$A$2:$A$40,0))*INDEX(Valeurs!$E$2:$E$40,MATCH(E613,Valeurs!$A$2:$A$40,0))</f>
        <v>3.6</v>
      </c>
      <c r="J613" s="64" t="n">
        <v>2</v>
      </c>
    </row>
    <row r="614" customFormat="false" ht="15" hidden="false" customHeight="false" outlineLevel="0" collapsed="false">
      <c r="A614" s="70" t="n">
        <v>46309</v>
      </c>
      <c r="B614" s="64" t="s">
        <v>23</v>
      </c>
      <c r="C614" s="64" t="s">
        <v>97</v>
      </c>
      <c r="D614" s="64" t="s">
        <v>6</v>
      </c>
      <c r="E614" s="64" t="s">
        <v>28</v>
      </c>
      <c r="F614" s="71" t="n">
        <f aca="false">Menu!D339</f>
        <v>10</v>
      </c>
      <c r="G614" s="64" t="s">
        <v>15</v>
      </c>
      <c r="H614" s="66" t="n">
        <f aca="false">F614/INDEX(Valeurs!$B$2:$B$40,MATCH(E614,Valeurs!$A$2:$A$40,0))*INDEX(Valeurs!$D$2:$D$40,MATCH(E614,Valeurs!$A$2:$A$40,0))</f>
        <v>90</v>
      </c>
      <c r="I614" s="72" t="n">
        <f aca="false">F614/INDEX(Valeurs!$B$2:$B$40,MATCH(E614,Valeurs!$A$2:$A$40,0))*INDEX(Valeurs!$E$2:$E$40,MATCH(E614,Valeurs!$A$2:$A$40,0))</f>
        <v>0</v>
      </c>
      <c r="J614" s="64" t="n">
        <v>2</v>
      </c>
    </row>
    <row r="615" customFormat="false" ht="15" hidden="false" customHeight="false" outlineLevel="0" collapsed="false">
      <c r="A615" s="70" t="n">
        <v>46309</v>
      </c>
      <c r="B615" s="64" t="s">
        <v>23</v>
      </c>
      <c r="C615" s="64" t="s">
        <v>97</v>
      </c>
      <c r="D615" s="64" t="s">
        <v>7</v>
      </c>
      <c r="E615" s="64" t="s">
        <v>28</v>
      </c>
      <c r="F615" s="71" t="n">
        <f aca="false">Menu!E339</f>
        <v>7</v>
      </c>
      <c r="G615" s="64" t="s">
        <v>15</v>
      </c>
      <c r="H615" s="66" t="n">
        <f aca="false">F615/INDEX(Valeurs!$B$2:$B$40,MATCH(E615,Valeurs!$A$2:$A$40,0))*INDEX(Valeurs!$D$2:$D$40,MATCH(E615,Valeurs!$A$2:$A$40,0))</f>
        <v>63</v>
      </c>
      <c r="I615" s="72" t="n">
        <f aca="false">F615/INDEX(Valeurs!$B$2:$B$40,MATCH(E615,Valeurs!$A$2:$A$40,0))*INDEX(Valeurs!$E$2:$E$40,MATCH(E615,Valeurs!$A$2:$A$40,0))</f>
        <v>0</v>
      </c>
      <c r="J615" s="64" t="n">
        <v>2</v>
      </c>
    </row>
    <row r="616" customFormat="false" ht="15" hidden="false" customHeight="false" outlineLevel="0" collapsed="false">
      <c r="A616" s="70" t="n">
        <v>46309</v>
      </c>
      <c r="B616" s="64" t="s">
        <v>29</v>
      </c>
      <c r="C616" s="64" t="s">
        <v>98</v>
      </c>
      <c r="D616" s="64" t="s">
        <v>6</v>
      </c>
      <c r="E616" s="64" t="s">
        <v>25</v>
      </c>
      <c r="F616" s="71" t="n">
        <f aca="false">Menu!D340</f>
        <v>120</v>
      </c>
      <c r="G616" s="64" t="s">
        <v>15</v>
      </c>
      <c r="H616" s="66" t="n">
        <f aca="false">F616/INDEX(Valeurs!$B$2:$B$40,MATCH(E616,Valeurs!$A$2:$A$40,0))*INDEX(Valeurs!$D$2:$D$40,MATCH(E616,Valeurs!$A$2:$A$40,0))</f>
        <v>138</v>
      </c>
      <c r="I616" s="72" t="n">
        <f aca="false">F616/INDEX(Valeurs!$B$2:$B$40,MATCH(E616,Valeurs!$A$2:$A$40,0))*INDEX(Valeurs!$E$2:$E$40,MATCH(E616,Valeurs!$A$2:$A$40,0))</f>
        <v>27.6</v>
      </c>
      <c r="J616" s="64" t="n">
        <v>2</v>
      </c>
    </row>
    <row r="617" customFormat="false" ht="15" hidden="false" customHeight="false" outlineLevel="0" collapsed="false">
      <c r="A617" s="70" t="n">
        <v>46309</v>
      </c>
      <c r="B617" s="64" t="s">
        <v>29</v>
      </c>
      <c r="C617" s="64" t="s">
        <v>98</v>
      </c>
      <c r="D617" s="64" t="s">
        <v>7</v>
      </c>
      <c r="E617" s="64" t="s">
        <v>25</v>
      </c>
      <c r="F617" s="71" t="n">
        <f aca="false">Menu!E340</f>
        <v>90</v>
      </c>
      <c r="G617" s="64" t="s">
        <v>15</v>
      </c>
      <c r="H617" s="66" t="n">
        <f aca="false">F617/INDEX(Valeurs!$B$2:$B$40,MATCH(E617,Valeurs!$A$2:$A$40,0))*INDEX(Valeurs!$D$2:$D$40,MATCH(E617,Valeurs!$A$2:$A$40,0))</f>
        <v>103.5</v>
      </c>
      <c r="I617" s="72" t="n">
        <f aca="false">F617/INDEX(Valeurs!$B$2:$B$40,MATCH(E617,Valeurs!$A$2:$A$40,0))*INDEX(Valeurs!$E$2:$E$40,MATCH(E617,Valeurs!$A$2:$A$40,0))</f>
        <v>20.7</v>
      </c>
      <c r="J617" s="64" t="n">
        <v>2</v>
      </c>
    </row>
    <row r="618" customFormat="false" ht="15" hidden="false" customHeight="false" outlineLevel="0" collapsed="false">
      <c r="A618" s="70" t="n">
        <v>46309</v>
      </c>
      <c r="B618" s="64" t="s">
        <v>29</v>
      </c>
      <c r="C618" s="64" t="s">
        <v>98</v>
      </c>
      <c r="D618" s="64" t="s">
        <v>6</v>
      </c>
      <c r="E618" s="64" t="s">
        <v>66</v>
      </c>
      <c r="F618" s="71" t="n">
        <f aca="false">Menu!D341</f>
        <v>105</v>
      </c>
      <c r="G618" s="64" t="s">
        <v>15</v>
      </c>
      <c r="H618" s="66" t="n">
        <f aca="false">F618/INDEX(Valeurs!$B$2:$B$40,MATCH(E618,Valeurs!$A$2:$A$40,0))*INDEX(Valeurs!$D$2:$D$40,MATCH(E618,Valeurs!$A$2:$A$40,0))</f>
        <v>372.75</v>
      </c>
      <c r="I618" s="72" t="n">
        <f aca="false">F618/INDEX(Valeurs!$B$2:$B$40,MATCH(E618,Valeurs!$A$2:$A$40,0))*INDEX(Valeurs!$E$2:$E$40,MATCH(E618,Valeurs!$A$2:$A$40,0))</f>
        <v>13.125</v>
      </c>
      <c r="J618" s="64" t="n">
        <v>2</v>
      </c>
    </row>
    <row r="619" customFormat="false" ht="15" hidden="false" customHeight="false" outlineLevel="0" collapsed="false">
      <c r="A619" s="70" t="n">
        <v>46309</v>
      </c>
      <c r="B619" s="64" t="s">
        <v>29</v>
      </c>
      <c r="C619" s="64" t="s">
        <v>98</v>
      </c>
      <c r="D619" s="64" t="s">
        <v>7</v>
      </c>
      <c r="E619" s="64" t="s">
        <v>66</v>
      </c>
      <c r="F619" s="71" t="n">
        <f aca="false">Menu!E341</f>
        <v>60</v>
      </c>
      <c r="G619" s="64" t="s">
        <v>15</v>
      </c>
      <c r="H619" s="66" t="n">
        <f aca="false">F619/INDEX(Valeurs!$B$2:$B$40,MATCH(E619,Valeurs!$A$2:$A$40,0))*INDEX(Valeurs!$D$2:$D$40,MATCH(E619,Valeurs!$A$2:$A$40,0))</f>
        <v>213</v>
      </c>
      <c r="I619" s="72" t="n">
        <f aca="false">F619/INDEX(Valeurs!$B$2:$B$40,MATCH(E619,Valeurs!$A$2:$A$40,0))*INDEX(Valeurs!$E$2:$E$40,MATCH(E619,Valeurs!$A$2:$A$40,0))</f>
        <v>7.5</v>
      </c>
      <c r="J619" s="64" t="n">
        <v>2</v>
      </c>
    </row>
    <row r="620" customFormat="false" ht="15" hidden="false" customHeight="false" outlineLevel="0" collapsed="false">
      <c r="A620" s="70" t="n">
        <v>46309</v>
      </c>
      <c r="B620" s="64" t="s">
        <v>29</v>
      </c>
      <c r="C620" s="64" t="s">
        <v>98</v>
      </c>
      <c r="D620" s="64" t="s">
        <v>6</v>
      </c>
      <c r="E620" s="64" t="s">
        <v>20</v>
      </c>
      <c r="F620" s="71" t="n">
        <f aca="false">Menu!D342</f>
        <v>100</v>
      </c>
      <c r="G620" s="64" t="s">
        <v>15</v>
      </c>
      <c r="H620" s="66" t="n">
        <f aca="false">F620/INDEX(Valeurs!$B$2:$B$40,MATCH(E620,Valeurs!$A$2:$A$40,0))*INDEX(Valeurs!$D$2:$D$40,MATCH(E620,Valeurs!$A$2:$A$40,0))</f>
        <v>18</v>
      </c>
      <c r="I620" s="72" t="n">
        <f aca="false">F620/INDEX(Valeurs!$B$2:$B$40,MATCH(E620,Valeurs!$A$2:$A$40,0))*INDEX(Valeurs!$E$2:$E$40,MATCH(E620,Valeurs!$A$2:$A$40,0))</f>
        <v>0.9</v>
      </c>
      <c r="J620" s="64" t="n">
        <v>2</v>
      </c>
    </row>
    <row r="621" customFormat="false" ht="15" hidden="false" customHeight="false" outlineLevel="0" collapsed="false">
      <c r="A621" s="70" t="n">
        <v>46309</v>
      </c>
      <c r="B621" s="64" t="s">
        <v>29</v>
      </c>
      <c r="C621" s="64" t="s">
        <v>98</v>
      </c>
      <c r="D621" s="64" t="s">
        <v>7</v>
      </c>
      <c r="E621" s="64" t="s">
        <v>20</v>
      </c>
      <c r="F621" s="71" t="n">
        <f aca="false">Menu!E342</f>
        <v>120</v>
      </c>
      <c r="G621" s="64" t="s">
        <v>15</v>
      </c>
      <c r="H621" s="66" t="n">
        <f aca="false">F621/INDEX(Valeurs!$B$2:$B$40,MATCH(E621,Valeurs!$A$2:$A$40,0))*INDEX(Valeurs!$D$2:$D$40,MATCH(E621,Valeurs!$A$2:$A$40,0))</f>
        <v>21.6</v>
      </c>
      <c r="I621" s="72" t="n">
        <f aca="false">F621/INDEX(Valeurs!$B$2:$B$40,MATCH(E621,Valeurs!$A$2:$A$40,0))*INDEX(Valeurs!$E$2:$E$40,MATCH(E621,Valeurs!$A$2:$A$40,0))</f>
        <v>1.08</v>
      </c>
      <c r="J621" s="64" t="n">
        <v>2</v>
      </c>
    </row>
    <row r="622" customFormat="false" ht="15" hidden="false" customHeight="false" outlineLevel="0" collapsed="false">
      <c r="A622" s="70" t="n">
        <v>46309</v>
      </c>
      <c r="B622" s="64" t="s">
        <v>29</v>
      </c>
      <c r="C622" s="64" t="s">
        <v>98</v>
      </c>
      <c r="D622" s="64" t="s">
        <v>6</v>
      </c>
      <c r="E622" s="64" t="s">
        <v>33</v>
      </c>
      <c r="F622" s="71" t="n">
        <f aca="false">Menu!D343</f>
        <v>120</v>
      </c>
      <c r="G622" s="64" t="s">
        <v>15</v>
      </c>
      <c r="H622" s="66" t="n">
        <f aca="false">F622/INDEX(Valeurs!$B$2:$B$40,MATCH(E622,Valeurs!$A$2:$A$40,0))*INDEX(Valeurs!$D$2:$D$40,MATCH(E622,Valeurs!$A$2:$A$40,0))</f>
        <v>20.4</v>
      </c>
      <c r="I622" s="72" t="n">
        <f aca="false">F622/INDEX(Valeurs!$B$2:$B$40,MATCH(E622,Valeurs!$A$2:$A$40,0))*INDEX(Valeurs!$E$2:$E$40,MATCH(E622,Valeurs!$A$2:$A$40,0))</f>
        <v>1.44</v>
      </c>
      <c r="J622" s="64" t="n">
        <v>2</v>
      </c>
    </row>
    <row r="623" customFormat="false" ht="15" hidden="false" customHeight="false" outlineLevel="0" collapsed="false">
      <c r="A623" s="70" t="n">
        <v>46309</v>
      </c>
      <c r="B623" s="64" t="s">
        <v>29</v>
      </c>
      <c r="C623" s="64" t="s">
        <v>98</v>
      </c>
      <c r="D623" s="64" t="s">
        <v>7</v>
      </c>
      <c r="E623" s="64" t="s">
        <v>33</v>
      </c>
      <c r="F623" s="71" t="n">
        <f aca="false">Menu!E343</f>
        <v>150</v>
      </c>
      <c r="G623" s="64" t="s">
        <v>15</v>
      </c>
      <c r="H623" s="66" t="n">
        <f aca="false">F623/INDEX(Valeurs!$B$2:$B$40,MATCH(E623,Valeurs!$A$2:$A$40,0))*INDEX(Valeurs!$D$2:$D$40,MATCH(E623,Valeurs!$A$2:$A$40,0))</f>
        <v>25.5</v>
      </c>
      <c r="I623" s="72" t="n">
        <f aca="false">F623/INDEX(Valeurs!$B$2:$B$40,MATCH(E623,Valeurs!$A$2:$A$40,0))*INDEX(Valeurs!$E$2:$E$40,MATCH(E623,Valeurs!$A$2:$A$40,0))</f>
        <v>1.8</v>
      </c>
      <c r="J623" s="64" t="n">
        <v>2</v>
      </c>
    </row>
    <row r="624" customFormat="false" ht="15" hidden="false" customHeight="false" outlineLevel="0" collapsed="false">
      <c r="A624" s="70" t="n">
        <v>46309</v>
      </c>
      <c r="B624" s="64" t="s">
        <v>29</v>
      </c>
      <c r="C624" s="64" t="s">
        <v>98</v>
      </c>
      <c r="D624" s="64" t="s">
        <v>6</v>
      </c>
      <c r="E624" s="64" t="s">
        <v>28</v>
      </c>
      <c r="F624" s="71" t="n">
        <f aca="false">Menu!D344</f>
        <v>10</v>
      </c>
      <c r="G624" s="64" t="s">
        <v>15</v>
      </c>
      <c r="H624" s="66" t="n">
        <f aca="false">F624/INDEX(Valeurs!$B$2:$B$40,MATCH(E624,Valeurs!$A$2:$A$40,0))*INDEX(Valeurs!$D$2:$D$40,MATCH(E624,Valeurs!$A$2:$A$40,0))</f>
        <v>90</v>
      </c>
      <c r="I624" s="72" t="n">
        <f aca="false">F624/INDEX(Valeurs!$B$2:$B$40,MATCH(E624,Valeurs!$A$2:$A$40,0))*INDEX(Valeurs!$E$2:$E$40,MATCH(E624,Valeurs!$A$2:$A$40,0))</f>
        <v>0</v>
      </c>
      <c r="J624" s="64" t="n">
        <v>2</v>
      </c>
    </row>
    <row r="625" customFormat="false" ht="15" hidden="false" customHeight="false" outlineLevel="0" collapsed="false">
      <c r="A625" s="70" t="n">
        <v>46309</v>
      </c>
      <c r="B625" s="64" t="s">
        <v>29</v>
      </c>
      <c r="C625" s="64" t="s">
        <v>98</v>
      </c>
      <c r="D625" s="64" t="s">
        <v>7</v>
      </c>
      <c r="E625" s="64" t="s">
        <v>28</v>
      </c>
      <c r="F625" s="71" t="n">
        <f aca="false">Menu!E344</f>
        <v>7</v>
      </c>
      <c r="G625" s="64" t="s">
        <v>15</v>
      </c>
      <c r="H625" s="66" t="n">
        <f aca="false">F625/INDEX(Valeurs!$B$2:$B$40,MATCH(E625,Valeurs!$A$2:$A$40,0))*INDEX(Valeurs!$D$2:$D$40,MATCH(E625,Valeurs!$A$2:$A$40,0))</f>
        <v>63</v>
      </c>
      <c r="I625" s="72" t="n">
        <f aca="false">F625/INDEX(Valeurs!$B$2:$B$40,MATCH(E625,Valeurs!$A$2:$A$40,0))*INDEX(Valeurs!$E$2:$E$40,MATCH(E625,Valeurs!$A$2:$A$40,0))</f>
        <v>0</v>
      </c>
      <c r="J625" s="64" t="n">
        <v>2</v>
      </c>
    </row>
    <row r="626" customFormat="false" ht="15" hidden="false" customHeight="false" outlineLevel="0" collapsed="false">
      <c r="A626" s="70" t="n">
        <v>46309</v>
      </c>
      <c r="B626" s="64" t="s">
        <v>36</v>
      </c>
      <c r="C626" s="64" t="s">
        <v>73</v>
      </c>
      <c r="D626" s="64" t="s">
        <v>6</v>
      </c>
      <c r="E626" s="64" t="s">
        <v>73</v>
      </c>
      <c r="F626" s="71" t="n">
        <f aca="false">Menu!D345</f>
        <v>100</v>
      </c>
      <c r="G626" s="64" t="s">
        <v>15</v>
      </c>
      <c r="H626" s="66" t="n">
        <f aca="false">F626/INDEX(Valeurs!$B$2:$B$40,MATCH(E626,Valeurs!$A$2:$A$40,0))*INDEX(Valeurs!$D$2:$D$40,MATCH(E626,Valeurs!$A$2:$A$40,0))</f>
        <v>60</v>
      </c>
      <c r="I626" s="72" t="n">
        <f aca="false">F626/INDEX(Valeurs!$B$2:$B$40,MATCH(E626,Valeurs!$A$2:$A$40,0))*INDEX(Valeurs!$E$2:$E$40,MATCH(E626,Valeurs!$A$2:$A$40,0))</f>
        <v>0.8</v>
      </c>
      <c r="J626" s="64" t="n">
        <v>2</v>
      </c>
    </row>
    <row r="627" customFormat="false" ht="15" hidden="false" customHeight="false" outlineLevel="0" collapsed="false">
      <c r="A627" s="70" t="n">
        <v>46309</v>
      </c>
      <c r="B627" s="64" t="s">
        <v>36</v>
      </c>
      <c r="C627" s="64" t="s">
        <v>73</v>
      </c>
      <c r="D627" s="64" t="s">
        <v>7</v>
      </c>
      <c r="E627" s="64" t="s">
        <v>73</v>
      </c>
      <c r="F627" s="71" t="n">
        <f aca="false">Menu!E345</f>
        <v>80</v>
      </c>
      <c r="G627" s="64" t="s">
        <v>15</v>
      </c>
      <c r="H627" s="66" t="n">
        <f aca="false">F627/INDEX(Valeurs!$B$2:$B$40,MATCH(E627,Valeurs!$A$2:$A$40,0))*INDEX(Valeurs!$D$2:$D$40,MATCH(E627,Valeurs!$A$2:$A$40,0))</f>
        <v>48</v>
      </c>
      <c r="I627" s="72" t="n">
        <f aca="false">F627/INDEX(Valeurs!$B$2:$B$40,MATCH(E627,Valeurs!$A$2:$A$40,0))*INDEX(Valeurs!$E$2:$E$40,MATCH(E627,Valeurs!$A$2:$A$40,0))</f>
        <v>0.64</v>
      </c>
      <c r="J627" s="64" t="n">
        <v>2</v>
      </c>
    </row>
    <row r="628" customFormat="false" ht="15" hidden="false" customHeight="false" outlineLevel="0" collapsed="false">
      <c r="A628" s="70" t="n">
        <v>46310</v>
      </c>
      <c r="B628" s="64" t="s">
        <v>10</v>
      </c>
      <c r="C628" s="64" t="s">
        <v>11</v>
      </c>
      <c r="D628" s="64" t="s">
        <v>6</v>
      </c>
      <c r="E628" s="64" t="s">
        <v>12</v>
      </c>
      <c r="F628" s="71" t="n">
        <f aca="false">Menu!D348</f>
        <v>250</v>
      </c>
      <c r="G628" s="64" t="s">
        <v>13</v>
      </c>
      <c r="H628" s="66" t="n">
        <f aca="false">F628/INDEX(Valeurs!$B$2:$B$40,MATCH(E628,Valeurs!$A$2:$A$40,0))*INDEX(Valeurs!$D$2:$D$40,MATCH(E628,Valeurs!$A$2:$A$40,0))</f>
        <v>115</v>
      </c>
      <c r="I628" s="72" t="n">
        <f aca="false">F628/INDEX(Valeurs!$B$2:$B$40,MATCH(E628,Valeurs!$A$2:$A$40,0))*INDEX(Valeurs!$E$2:$E$40,MATCH(E628,Valeurs!$A$2:$A$40,0))</f>
        <v>8.25</v>
      </c>
      <c r="J628" s="64" t="n">
        <v>2</v>
      </c>
    </row>
    <row r="629" customFormat="false" ht="15" hidden="false" customHeight="false" outlineLevel="0" collapsed="false">
      <c r="A629" s="70" t="n">
        <v>46310</v>
      </c>
      <c r="B629" s="64" t="s">
        <v>10</v>
      </c>
      <c r="C629" s="64" t="s">
        <v>11</v>
      </c>
      <c r="D629" s="64" t="s">
        <v>7</v>
      </c>
      <c r="E629" s="64" t="s">
        <v>12</v>
      </c>
      <c r="F629" s="71" t="n">
        <f aca="false">Menu!E348</f>
        <v>0</v>
      </c>
      <c r="G629" s="64" t="s">
        <v>13</v>
      </c>
      <c r="H629" s="66" t="n">
        <f aca="false">F629/INDEX(Valeurs!$B$2:$B$40,MATCH(E629,Valeurs!$A$2:$A$40,0))*INDEX(Valeurs!$D$2:$D$40,MATCH(E629,Valeurs!$A$2:$A$40,0))</f>
        <v>0</v>
      </c>
      <c r="I629" s="72" t="n">
        <f aca="false">F629/INDEX(Valeurs!$B$2:$B$40,MATCH(E629,Valeurs!$A$2:$A$40,0))*INDEX(Valeurs!$E$2:$E$40,MATCH(E629,Valeurs!$A$2:$A$40,0))</f>
        <v>0</v>
      </c>
      <c r="J629" s="64" t="n">
        <v>2</v>
      </c>
    </row>
    <row r="630" customFormat="false" ht="15" hidden="false" customHeight="false" outlineLevel="0" collapsed="false">
      <c r="A630" s="70" t="n">
        <v>46310</v>
      </c>
      <c r="B630" s="64" t="s">
        <v>10</v>
      </c>
      <c r="C630" s="64" t="s">
        <v>11</v>
      </c>
      <c r="D630" s="64" t="s">
        <v>6</v>
      </c>
      <c r="E630" s="64" t="s">
        <v>14</v>
      </c>
      <c r="F630" s="71" t="n">
        <f aca="false">Menu!D349</f>
        <v>100</v>
      </c>
      <c r="G630" s="64" t="s">
        <v>15</v>
      </c>
      <c r="H630" s="66" t="n">
        <f aca="false">F630/INDEX(Valeurs!$B$2:$B$40,MATCH(E630,Valeurs!$A$2:$A$40,0))*INDEX(Valeurs!$D$2:$D$40,MATCH(E630,Valeurs!$A$2:$A$40,0))</f>
        <v>90</v>
      </c>
      <c r="I630" s="72" t="n">
        <f aca="false">F630/INDEX(Valeurs!$B$2:$B$40,MATCH(E630,Valeurs!$A$2:$A$40,0))*INDEX(Valeurs!$E$2:$E$40,MATCH(E630,Valeurs!$A$2:$A$40,0))</f>
        <v>1.1</v>
      </c>
      <c r="J630" s="64" t="n">
        <v>2</v>
      </c>
    </row>
    <row r="631" customFormat="false" ht="15" hidden="false" customHeight="false" outlineLevel="0" collapsed="false">
      <c r="A631" s="70" t="n">
        <v>46310</v>
      </c>
      <c r="B631" s="64" t="s">
        <v>10</v>
      </c>
      <c r="C631" s="64" t="s">
        <v>11</v>
      </c>
      <c r="D631" s="64" t="s">
        <v>7</v>
      </c>
      <c r="E631" s="64" t="s">
        <v>14</v>
      </c>
      <c r="F631" s="71" t="n">
        <f aca="false">Menu!E349</f>
        <v>0</v>
      </c>
      <c r="G631" s="64" t="s">
        <v>15</v>
      </c>
      <c r="H631" s="66" t="n">
        <f aca="false">F631/INDEX(Valeurs!$B$2:$B$40,MATCH(E631,Valeurs!$A$2:$A$40,0))*INDEX(Valeurs!$D$2:$D$40,MATCH(E631,Valeurs!$A$2:$A$40,0))</f>
        <v>0</v>
      </c>
      <c r="I631" s="72" t="n">
        <f aca="false">F631/INDEX(Valeurs!$B$2:$B$40,MATCH(E631,Valeurs!$A$2:$A$40,0))*INDEX(Valeurs!$E$2:$E$40,MATCH(E631,Valeurs!$A$2:$A$40,0))</f>
        <v>0</v>
      </c>
      <c r="J631" s="64" t="n">
        <v>2</v>
      </c>
    </row>
    <row r="632" customFormat="false" ht="15" hidden="false" customHeight="false" outlineLevel="0" collapsed="false">
      <c r="A632" s="70" t="n">
        <v>46310</v>
      </c>
      <c r="B632" s="64" t="s">
        <v>10</v>
      </c>
      <c r="C632" s="64" t="s">
        <v>11</v>
      </c>
      <c r="D632" s="64" t="s">
        <v>6</v>
      </c>
      <c r="E632" s="64" t="s">
        <v>16</v>
      </c>
      <c r="F632" s="71" t="n">
        <f aca="false">Menu!D350</f>
        <v>65</v>
      </c>
      <c r="G632" s="64" t="s">
        <v>15</v>
      </c>
      <c r="H632" s="66" t="n">
        <f aca="false">F632/INDEX(Valeurs!$B$2:$B$40,MATCH(E632,Valeurs!$A$2:$A$40,0))*INDEX(Valeurs!$D$2:$D$40,MATCH(E632,Valeurs!$A$2:$A$40,0))</f>
        <v>241.8</v>
      </c>
      <c r="I632" s="72" t="n">
        <f aca="false">F632/INDEX(Valeurs!$B$2:$B$40,MATCH(E632,Valeurs!$A$2:$A$40,0))*INDEX(Valeurs!$E$2:$E$40,MATCH(E632,Valeurs!$A$2:$A$40,0))</f>
        <v>8.775</v>
      </c>
      <c r="J632" s="64" t="n">
        <v>2</v>
      </c>
    </row>
    <row r="633" customFormat="false" ht="15" hidden="false" customHeight="false" outlineLevel="0" collapsed="false">
      <c r="A633" s="70" t="n">
        <v>46310</v>
      </c>
      <c r="B633" s="64" t="s">
        <v>10</v>
      </c>
      <c r="C633" s="64" t="s">
        <v>11</v>
      </c>
      <c r="D633" s="64" t="s">
        <v>7</v>
      </c>
      <c r="E633" s="64" t="s">
        <v>16</v>
      </c>
      <c r="F633" s="71" t="n">
        <f aca="false">Menu!E350</f>
        <v>0</v>
      </c>
      <c r="G633" s="64" t="s">
        <v>15</v>
      </c>
      <c r="H633" s="66" t="n">
        <f aca="false">F633/INDEX(Valeurs!$B$2:$B$40,MATCH(E633,Valeurs!$A$2:$A$40,0))*INDEX(Valeurs!$D$2:$D$40,MATCH(E633,Valeurs!$A$2:$A$40,0))</f>
        <v>0</v>
      </c>
      <c r="I633" s="72" t="n">
        <f aca="false">F633/INDEX(Valeurs!$B$2:$B$40,MATCH(E633,Valeurs!$A$2:$A$40,0))*INDEX(Valeurs!$E$2:$E$40,MATCH(E633,Valeurs!$A$2:$A$40,0))</f>
        <v>0</v>
      </c>
      <c r="J633" s="64" t="n">
        <v>2</v>
      </c>
    </row>
    <row r="634" customFormat="false" ht="15" hidden="false" customHeight="false" outlineLevel="0" collapsed="false">
      <c r="A634" s="70" t="n">
        <v>46310</v>
      </c>
      <c r="B634" s="64" t="s">
        <v>10</v>
      </c>
      <c r="C634" s="64" t="s">
        <v>11</v>
      </c>
      <c r="D634" s="64" t="s">
        <v>6</v>
      </c>
      <c r="E634" s="64" t="s">
        <v>17</v>
      </c>
      <c r="F634" s="71" t="n">
        <f aca="false">Menu!D351</f>
        <v>1</v>
      </c>
      <c r="G634" s="64" t="s">
        <v>171</v>
      </c>
      <c r="H634" s="66" t="n">
        <f aca="false">F634/INDEX(Valeurs!$B$2:$B$40,MATCH(E634,Valeurs!$A$2:$A$40,0))*INDEX(Valeurs!$D$2:$D$40,MATCH(E634,Valeurs!$A$2:$A$40,0))</f>
        <v>87</v>
      </c>
      <c r="I634" s="72" t="n">
        <f aca="false">F634/INDEX(Valeurs!$B$2:$B$40,MATCH(E634,Valeurs!$A$2:$A$40,0))*INDEX(Valeurs!$E$2:$E$40,MATCH(E634,Valeurs!$A$2:$A$40,0))</f>
        <v>7.5</v>
      </c>
      <c r="J634" s="64" t="n">
        <v>2</v>
      </c>
    </row>
    <row r="635" customFormat="false" ht="15" hidden="false" customHeight="false" outlineLevel="0" collapsed="false">
      <c r="A635" s="70" t="n">
        <v>46310</v>
      </c>
      <c r="B635" s="64" t="s">
        <v>10</v>
      </c>
      <c r="C635" s="64" t="s">
        <v>11</v>
      </c>
      <c r="D635" s="64" t="s">
        <v>7</v>
      </c>
      <c r="E635" s="64" t="s">
        <v>17</v>
      </c>
      <c r="F635" s="71" t="n">
        <f aca="false">Menu!E351</f>
        <v>2</v>
      </c>
      <c r="G635" s="64" t="s">
        <v>171</v>
      </c>
      <c r="H635" s="66" t="n">
        <f aca="false">F635/INDEX(Valeurs!$B$2:$B$40,MATCH(E635,Valeurs!$A$2:$A$40,0))*INDEX(Valeurs!$D$2:$D$40,MATCH(E635,Valeurs!$A$2:$A$40,0))</f>
        <v>174</v>
      </c>
      <c r="I635" s="72" t="n">
        <f aca="false">F635/INDEX(Valeurs!$B$2:$B$40,MATCH(E635,Valeurs!$A$2:$A$40,0))*INDEX(Valeurs!$E$2:$E$40,MATCH(E635,Valeurs!$A$2:$A$40,0))</f>
        <v>15</v>
      </c>
      <c r="J635" s="64" t="n">
        <v>2</v>
      </c>
    </row>
    <row r="636" customFormat="false" ht="15" hidden="false" customHeight="false" outlineLevel="0" collapsed="false">
      <c r="A636" s="70" t="n">
        <v>46310</v>
      </c>
      <c r="B636" s="64" t="s">
        <v>10</v>
      </c>
      <c r="C636" s="64" t="s">
        <v>11</v>
      </c>
      <c r="D636" s="64" t="s">
        <v>6</v>
      </c>
      <c r="E636" s="64" t="s">
        <v>19</v>
      </c>
      <c r="F636" s="71" t="n">
        <f aca="false">Menu!D352</f>
        <v>0</v>
      </c>
      <c r="G636" s="64" t="s">
        <v>15</v>
      </c>
      <c r="H636" s="66" t="n">
        <f aca="false">F636/INDEX(Valeurs!$B$2:$B$40,MATCH(E636,Valeurs!$A$2:$A$40,0))*INDEX(Valeurs!$D$2:$D$40,MATCH(E636,Valeurs!$A$2:$A$40,0))</f>
        <v>0</v>
      </c>
      <c r="I636" s="72" t="n">
        <f aca="false">F636/INDEX(Valeurs!$B$2:$B$40,MATCH(E636,Valeurs!$A$2:$A$40,0))*INDEX(Valeurs!$E$2:$E$40,MATCH(E636,Valeurs!$A$2:$A$40,0))</f>
        <v>0</v>
      </c>
      <c r="J636" s="64" t="n">
        <v>2</v>
      </c>
    </row>
    <row r="637" customFormat="false" ht="15" hidden="false" customHeight="false" outlineLevel="0" collapsed="false">
      <c r="A637" s="70" t="n">
        <v>46310</v>
      </c>
      <c r="B637" s="64" t="s">
        <v>10</v>
      </c>
      <c r="C637" s="64" t="s">
        <v>11</v>
      </c>
      <c r="D637" s="64" t="s">
        <v>7</v>
      </c>
      <c r="E637" s="64" t="s">
        <v>19</v>
      </c>
      <c r="F637" s="71" t="n">
        <f aca="false">Menu!E352</f>
        <v>30</v>
      </c>
      <c r="G637" s="64" t="s">
        <v>15</v>
      </c>
      <c r="H637" s="66" t="n">
        <f aca="false">F637/INDEX(Valeurs!$B$2:$B$40,MATCH(E637,Valeurs!$A$2:$A$40,0))*INDEX(Valeurs!$D$2:$D$40,MATCH(E637,Valeurs!$A$2:$A$40,0))</f>
        <v>33</v>
      </c>
      <c r="I637" s="72" t="n">
        <f aca="false">F637/INDEX(Valeurs!$B$2:$B$40,MATCH(E637,Valeurs!$A$2:$A$40,0))*INDEX(Valeurs!$E$2:$E$40,MATCH(E637,Valeurs!$A$2:$A$40,0))</f>
        <v>6</v>
      </c>
      <c r="J637" s="64" t="n">
        <v>2</v>
      </c>
    </row>
    <row r="638" customFormat="false" ht="15" hidden="false" customHeight="false" outlineLevel="0" collapsed="false">
      <c r="A638" s="70" t="n">
        <v>46310</v>
      </c>
      <c r="B638" s="64" t="s">
        <v>10</v>
      </c>
      <c r="C638" s="64" t="s">
        <v>11</v>
      </c>
      <c r="D638" s="64" t="s">
        <v>6</v>
      </c>
      <c r="E638" s="64" t="s">
        <v>20</v>
      </c>
      <c r="F638" s="71" t="n">
        <f aca="false">Menu!D353</f>
        <v>0</v>
      </c>
      <c r="G638" s="64" t="s">
        <v>15</v>
      </c>
      <c r="H638" s="66" t="n">
        <f aca="false">F638/INDEX(Valeurs!$B$2:$B$40,MATCH(E638,Valeurs!$A$2:$A$40,0))*INDEX(Valeurs!$D$2:$D$40,MATCH(E638,Valeurs!$A$2:$A$40,0))</f>
        <v>0</v>
      </c>
      <c r="I638" s="72" t="n">
        <f aca="false">F638/INDEX(Valeurs!$B$2:$B$40,MATCH(E638,Valeurs!$A$2:$A$40,0))*INDEX(Valeurs!$E$2:$E$40,MATCH(E638,Valeurs!$A$2:$A$40,0))</f>
        <v>0</v>
      </c>
      <c r="J638" s="64" t="n">
        <v>2</v>
      </c>
    </row>
    <row r="639" customFormat="false" ht="15" hidden="false" customHeight="false" outlineLevel="0" collapsed="false">
      <c r="A639" s="70" t="n">
        <v>46310</v>
      </c>
      <c r="B639" s="64" t="s">
        <v>10</v>
      </c>
      <c r="C639" s="64" t="s">
        <v>11</v>
      </c>
      <c r="D639" s="64" t="s">
        <v>7</v>
      </c>
      <c r="E639" s="64" t="s">
        <v>20</v>
      </c>
      <c r="F639" s="71" t="n">
        <f aca="false">Menu!E353</f>
        <v>80</v>
      </c>
      <c r="G639" s="64" t="s">
        <v>15</v>
      </c>
      <c r="H639" s="66" t="n">
        <f aca="false">F639/INDEX(Valeurs!$B$2:$B$40,MATCH(E639,Valeurs!$A$2:$A$40,0))*INDEX(Valeurs!$D$2:$D$40,MATCH(E639,Valeurs!$A$2:$A$40,0))</f>
        <v>14.4</v>
      </c>
      <c r="I639" s="72" t="n">
        <f aca="false">F639/INDEX(Valeurs!$B$2:$B$40,MATCH(E639,Valeurs!$A$2:$A$40,0))*INDEX(Valeurs!$E$2:$E$40,MATCH(E639,Valeurs!$A$2:$A$40,0))</f>
        <v>0.72</v>
      </c>
      <c r="J639" s="64" t="n">
        <v>2</v>
      </c>
    </row>
    <row r="640" customFormat="false" ht="15" hidden="false" customHeight="false" outlineLevel="0" collapsed="false">
      <c r="A640" s="70" t="n">
        <v>46310</v>
      </c>
      <c r="B640" s="64" t="s">
        <v>10</v>
      </c>
      <c r="C640" s="64" t="s">
        <v>11</v>
      </c>
      <c r="D640" s="64" t="s">
        <v>6</v>
      </c>
      <c r="E640" s="64" t="s">
        <v>21</v>
      </c>
      <c r="F640" s="71" t="n">
        <f aca="false">Menu!D354</f>
        <v>0</v>
      </c>
      <c r="G640" s="64" t="s">
        <v>15</v>
      </c>
      <c r="H640" s="66" t="n">
        <f aca="false">F640/INDEX(Valeurs!$B$2:$B$40,MATCH(E640,Valeurs!$A$2:$A$40,0))*INDEX(Valeurs!$D$2:$D$40,MATCH(E640,Valeurs!$A$2:$A$40,0))</f>
        <v>0</v>
      </c>
      <c r="I640" s="72" t="n">
        <f aca="false">F640/INDEX(Valeurs!$B$2:$B$40,MATCH(E640,Valeurs!$A$2:$A$40,0))*INDEX(Valeurs!$E$2:$E$40,MATCH(E640,Valeurs!$A$2:$A$40,0))</f>
        <v>0</v>
      </c>
      <c r="J640" s="64" t="n">
        <v>2</v>
      </c>
    </row>
    <row r="641" customFormat="false" ht="15" hidden="false" customHeight="false" outlineLevel="0" collapsed="false">
      <c r="A641" s="70" t="n">
        <v>46310</v>
      </c>
      <c r="B641" s="64" t="s">
        <v>10</v>
      </c>
      <c r="C641" s="64" t="s">
        <v>11</v>
      </c>
      <c r="D641" s="64" t="s">
        <v>7</v>
      </c>
      <c r="E641" s="64" t="s">
        <v>21</v>
      </c>
      <c r="F641" s="71" t="n">
        <f aca="false">Menu!E354</f>
        <v>40</v>
      </c>
      <c r="G641" s="64" t="s">
        <v>15</v>
      </c>
      <c r="H641" s="66" t="n">
        <f aca="false">F641/INDEX(Valeurs!$B$2:$B$40,MATCH(E641,Valeurs!$A$2:$A$40,0))*INDEX(Valeurs!$D$2:$D$40,MATCH(E641,Valeurs!$A$2:$A$40,0))</f>
        <v>96</v>
      </c>
      <c r="I641" s="72" t="n">
        <f aca="false">F641/INDEX(Valeurs!$B$2:$B$40,MATCH(E641,Valeurs!$A$2:$A$40,0))*INDEX(Valeurs!$E$2:$E$40,MATCH(E641,Valeurs!$A$2:$A$40,0))</f>
        <v>3.6</v>
      </c>
      <c r="J641" s="64" t="n">
        <v>2</v>
      </c>
    </row>
    <row r="642" customFormat="false" ht="15" hidden="false" customHeight="false" outlineLevel="0" collapsed="false">
      <c r="A642" s="70" t="n">
        <v>46310</v>
      </c>
      <c r="B642" s="64" t="s">
        <v>10</v>
      </c>
      <c r="C642" s="64" t="s">
        <v>11</v>
      </c>
      <c r="D642" s="64" t="s">
        <v>6</v>
      </c>
      <c r="E642" s="64" t="s">
        <v>22</v>
      </c>
      <c r="F642" s="71" t="n">
        <f aca="false">Menu!D355</f>
        <v>0</v>
      </c>
      <c r="G642" s="64" t="s">
        <v>15</v>
      </c>
      <c r="H642" s="66" t="n">
        <f aca="false">F642/INDEX(Valeurs!$B$2:$B$40,MATCH(E642,Valeurs!$A$2:$A$40,0))*INDEX(Valeurs!$D$2:$D$40,MATCH(E642,Valeurs!$A$2:$A$40,0))</f>
        <v>0</v>
      </c>
      <c r="I642" s="72" t="n">
        <f aca="false">F642/INDEX(Valeurs!$B$2:$B$40,MATCH(E642,Valeurs!$A$2:$A$40,0))*INDEX(Valeurs!$E$2:$E$40,MATCH(E642,Valeurs!$A$2:$A$40,0))</f>
        <v>0</v>
      </c>
      <c r="J642" s="64" t="n">
        <v>2</v>
      </c>
    </row>
    <row r="643" customFormat="false" ht="15" hidden="false" customHeight="false" outlineLevel="0" collapsed="false">
      <c r="A643" s="70" t="n">
        <v>46310</v>
      </c>
      <c r="B643" s="64" t="s">
        <v>10</v>
      </c>
      <c r="C643" s="64" t="s">
        <v>11</v>
      </c>
      <c r="D643" s="64" t="s">
        <v>7</v>
      </c>
      <c r="E643" s="64" t="s">
        <v>22</v>
      </c>
      <c r="F643" s="71" t="n">
        <f aca="false">Menu!E355</f>
        <v>150</v>
      </c>
      <c r="G643" s="64" t="s">
        <v>15</v>
      </c>
      <c r="H643" s="66" t="n">
        <f aca="false">F643/INDEX(Valeurs!$B$2:$B$40,MATCH(E643,Valeurs!$A$2:$A$40,0))*INDEX(Valeurs!$D$2:$D$40,MATCH(E643,Valeurs!$A$2:$A$40,0))</f>
        <v>78</v>
      </c>
      <c r="I643" s="72" t="n">
        <f aca="false">F643/INDEX(Valeurs!$B$2:$B$40,MATCH(E643,Valeurs!$A$2:$A$40,0))*INDEX(Valeurs!$E$2:$E$40,MATCH(E643,Valeurs!$A$2:$A$40,0))</f>
        <v>0.45</v>
      </c>
      <c r="J643" s="64" t="n">
        <v>2</v>
      </c>
    </row>
    <row r="644" customFormat="false" ht="15" hidden="false" customHeight="false" outlineLevel="0" collapsed="false">
      <c r="A644" s="70" t="n">
        <v>46310</v>
      </c>
      <c r="B644" s="64" t="s">
        <v>23</v>
      </c>
      <c r="C644" s="64" t="s">
        <v>24</v>
      </c>
      <c r="D644" s="64" t="s">
        <v>6</v>
      </c>
      <c r="E644" s="64" t="s">
        <v>25</v>
      </c>
      <c r="F644" s="71" t="n">
        <f aca="false">Menu!D356</f>
        <v>150</v>
      </c>
      <c r="G644" s="64" t="s">
        <v>15</v>
      </c>
      <c r="H644" s="66" t="n">
        <f aca="false">F644/INDEX(Valeurs!$B$2:$B$40,MATCH(E644,Valeurs!$A$2:$A$40,0))*INDEX(Valeurs!$D$2:$D$40,MATCH(E644,Valeurs!$A$2:$A$40,0))</f>
        <v>172.5</v>
      </c>
      <c r="I644" s="72" t="n">
        <f aca="false">F644/INDEX(Valeurs!$B$2:$B$40,MATCH(E644,Valeurs!$A$2:$A$40,0))*INDEX(Valeurs!$E$2:$E$40,MATCH(E644,Valeurs!$A$2:$A$40,0))</f>
        <v>34.5</v>
      </c>
      <c r="J644" s="64" t="n">
        <v>2</v>
      </c>
    </row>
    <row r="645" customFormat="false" ht="15" hidden="false" customHeight="false" outlineLevel="0" collapsed="false">
      <c r="A645" s="70" t="n">
        <v>46310</v>
      </c>
      <c r="B645" s="64" t="s">
        <v>23</v>
      </c>
      <c r="C645" s="64" t="s">
        <v>24</v>
      </c>
      <c r="D645" s="64" t="s">
        <v>7</v>
      </c>
      <c r="E645" s="64" t="s">
        <v>25</v>
      </c>
      <c r="F645" s="71" t="n">
        <f aca="false">Menu!E356</f>
        <v>120</v>
      </c>
      <c r="G645" s="64" t="s">
        <v>15</v>
      </c>
      <c r="H645" s="66" t="n">
        <f aca="false">F645/INDEX(Valeurs!$B$2:$B$40,MATCH(E645,Valeurs!$A$2:$A$40,0))*INDEX(Valeurs!$D$2:$D$40,MATCH(E645,Valeurs!$A$2:$A$40,0))</f>
        <v>138</v>
      </c>
      <c r="I645" s="72" t="n">
        <f aca="false">F645/INDEX(Valeurs!$B$2:$B$40,MATCH(E645,Valeurs!$A$2:$A$40,0))*INDEX(Valeurs!$E$2:$E$40,MATCH(E645,Valeurs!$A$2:$A$40,0))</f>
        <v>27.6</v>
      </c>
      <c r="J645" s="64" t="n">
        <v>2</v>
      </c>
    </row>
    <row r="646" customFormat="false" ht="15" hidden="false" customHeight="false" outlineLevel="0" collapsed="false">
      <c r="A646" s="70" t="n">
        <v>46310</v>
      </c>
      <c r="B646" s="64" t="s">
        <v>23</v>
      </c>
      <c r="C646" s="64" t="s">
        <v>24</v>
      </c>
      <c r="D646" s="64" t="s">
        <v>6</v>
      </c>
      <c r="E646" s="64" t="s">
        <v>26</v>
      </c>
      <c r="F646" s="71" t="n">
        <f aca="false">Menu!D357</f>
        <v>360</v>
      </c>
      <c r="G646" s="64" t="s">
        <v>15</v>
      </c>
      <c r="H646" s="66" t="n">
        <f aca="false">F646/INDEX(Valeurs!$B$2:$B$40,MATCH(E646,Valeurs!$A$2:$A$40,0))*INDEX(Valeurs!$D$2:$D$40,MATCH(E646,Valeurs!$A$2:$A$40,0))</f>
        <v>288</v>
      </c>
      <c r="I646" s="72" t="n">
        <f aca="false">F646/INDEX(Valeurs!$B$2:$B$40,MATCH(E646,Valeurs!$A$2:$A$40,0))*INDEX(Valeurs!$E$2:$E$40,MATCH(E646,Valeurs!$A$2:$A$40,0))</f>
        <v>7.2</v>
      </c>
      <c r="J646" s="64" t="n">
        <v>2</v>
      </c>
    </row>
    <row r="647" customFormat="false" ht="15" hidden="false" customHeight="false" outlineLevel="0" collapsed="false">
      <c r="A647" s="70" t="n">
        <v>46310</v>
      </c>
      <c r="B647" s="64" t="s">
        <v>23</v>
      </c>
      <c r="C647" s="64" t="s">
        <v>24</v>
      </c>
      <c r="D647" s="64" t="s">
        <v>7</v>
      </c>
      <c r="E647" s="64" t="s">
        <v>26</v>
      </c>
      <c r="F647" s="71" t="n">
        <f aca="false">Menu!E357</f>
        <v>170</v>
      </c>
      <c r="G647" s="64" t="s">
        <v>15</v>
      </c>
      <c r="H647" s="66" t="n">
        <f aca="false">F647/INDEX(Valeurs!$B$2:$B$40,MATCH(E647,Valeurs!$A$2:$A$40,0))*INDEX(Valeurs!$D$2:$D$40,MATCH(E647,Valeurs!$A$2:$A$40,0))</f>
        <v>136</v>
      </c>
      <c r="I647" s="72" t="n">
        <f aca="false">F647/INDEX(Valeurs!$B$2:$B$40,MATCH(E647,Valeurs!$A$2:$A$40,0))*INDEX(Valeurs!$E$2:$E$40,MATCH(E647,Valeurs!$A$2:$A$40,0))</f>
        <v>3.4</v>
      </c>
      <c r="J647" s="64" t="n">
        <v>2</v>
      </c>
    </row>
    <row r="648" customFormat="false" ht="15" hidden="false" customHeight="false" outlineLevel="0" collapsed="false">
      <c r="A648" s="70" t="n">
        <v>46310</v>
      </c>
      <c r="B648" s="64" t="s">
        <v>23</v>
      </c>
      <c r="C648" s="64" t="s">
        <v>24</v>
      </c>
      <c r="D648" s="64" t="s">
        <v>6</v>
      </c>
      <c r="E648" s="64" t="s">
        <v>27</v>
      </c>
      <c r="F648" s="71" t="n">
        <f aca="false">Menu!D358</f>
        <v>250</v>
      </c>
      <c r="G648" s="64" t="s">
        <v>15</v>
      </c>
      <c r="H648" s="66" t="n">
        <f aca="false">F648/INDEX(Valeurs!$B$2:$B$40,MATCH(E648,Valeurs!$A$2:$A$40,0))*INDEX(Valeurs!$D$2:$D$40,MATCH(E648,Valeurs!$A$2:$A$40,0))</f>
        <v>77.5</v>
      </c>
      <c r="I648" s="72" t="n">
        <f aca="false">F648/INDEX(Valeurs!$B$2:$B$40,MATCH(E648,Valeurs!$A$2:$A$40,0))*INDEX(Valeurs!$E$2:$E$40,MATCH(E648,Valeurs!$A$2:$A$40,0))</f>
        <v>4.5</v>
      </c>
      <c r="J648" s="64" t="n">
        <v>2</v>
      </c>
    </row>
    <row r="649" customFormat="false" ht="15" hidden="false" customHeight="false" outlineLevel="0" collapsed="false">
      <c r="A649" s="70" t="n">
        <v>46310</v>
      </c>
      <c r="B649" s="64" t="s">
        <v>23</v>
      </c>
      <c r="C649" s="64" t="s">
        <v>24</v>
      </c>
      <c r="D649" s="64" t="s">
        <v>7</v>
      </c>
      <c r="E649" s="64" t="s">
        <v>27</v>
      </c>
      <c r="F649" s="71" t="n">
        <f aca="false">Menu!E358</f>
        <v>280</v>
      </c>
      <c r="G649" s="64" t="s">
        <v>15</v>
      </c>
      <c r="H649" s="66" t="n">
        <f aca="false">F649/INDEX(Valeurs!$B$2:$B$40,MATCH(E649,Valeurs!$A$2:$A$40,0))*INDEX(Valeurs!$D$2:$D$40,MATCH(E649,Valeurs!$A$2:$A$40,0))</f>
        <v>86.8</v>
      </c>
      <c r="I649" s="72" t="n">
        <f aca="false">F649/INDEX(Valeurs!$B$2:$B$40,MATCH(E649,Valeurs!$A$2:$A$40,0))*INDEX(Valeurs!$E$2:$E$40,MATCH(E649,Valeurs!$A$2:$A$40,0))</f>
        <v>5.04</v>
      </c>
      <c r="J649" s="64" t="n">
        <v>2</v>
      </c>
    </row>
    <row r="650" customFormat="false" ht="15" hidden="false" customHeight="false" outlineLevel="0" collapsed="false">
      <c r="A650" s="70" t="n">
        <v>46310</v>
      </c>
      <c r="B650" s="64" t="s">
        <v>23</v>
      </c>
      <c r="C650" s="64" t="s">
        <v>24</v>
      </c>
      <c r="D650" s="64" t="s">
        <v>6</v>
      </c>
      <c r="E650" s="64" t="s">
        <v>28</v>
      </c>
      <c r="F650" s="71" t="n">
        <f aca="false">Menu!D359</f>
        <v>10</v>
      </c>
      <c r="G650" s="64" t="s">
        <v>15</v>
      </c>
      <c r="H650" s="66" t="n">
        <f aca="false">F650/INDEX(Valeurs!$B$2:$B$40,MATCH(E650,Valeurs!$A$2:$A$40,0))*INDEX(Valeurs!$D$2:$D$40,MATCH(E650,Valeurs!$A$2:$A$40,0))</f>
        <v>90</v>
      </c>
      <c r="I650" s="72" t="n">
        <f aca="false">F650/INDEX(Valeurs!$B$2:$B$40,MATCH(E650,Valeurs!$A$2:$A$40,0))*INDEX(Valeurs!$E$2:$E$40,MATCH(E650,Valeurs!$A$2:$A$40,0))</f>
        <v>0</v>
      </c>
      <c r="J650" s="64" t="n">
        <v>2</v>
      </c>
    </row>
    <row r="651" customFormat="false" ht="15" hidden="false" customHeight="false" outlineLevel="0" collapsed="false">
      <c r="A651" s="70" t="n">
        <v>46310</v>
      </c>
      <c r="B651" s="64" t="s">
        <v>23</v>
      </c>
      <c r="C651" s="64" t="s">
        <v>24</v>
      </c>
      <c r="D651" s="64" t="s">
        <v>7</v>
      </c>
      <c r="E651" s="64" t="s">
        <v>28</v>
      </c>
      <c r="F651" s="71" t="n">
        <f aca="false">Menu!E359</f>
        <v>7</v>
      </c>
      <c r="G651" s="64" t="s">
        <v>15</v>
      </c>
      <c r="H651" s="66" t="n">
        <f aca="false">F651/INDEX(Valeurs!$B$2:$B$40,MATCH(E651,Valeurs!$A$2:$A$40,0))*INDEX(Valeurs!$D$2:$D$40,MATCH(E651,Valeurs!$A$2:$A$40,0))</f>
        <v>63</v>
      </c>
      <c r="I651" s="72" t="n">
        <f aca="false">F651/INDEX(Valeurs!$B$2:$B$40,MATCH(E651,Valeurs!$A$2:$A$40,0))*INDEX(Valeurs!$E$2:$E$40,MATCH(E651,Valeurs!$A$2:$A$40,0))</f>
        <v>0</v>
      </c>
      <c r="J651" s="64" t="n">
        <v>2</v>
      </c>
    </row>
    <row r="652" customFormat="false" ht="15" hidden="false" customHeight="false" outlineLevel="0" collapsed="false">
      <c r="A652" s="70" t="n">
        <v>46310</v>
      </c>
      <c r="B652" s="64" t="s">
        <v>29</v>
      </c>
      <c r="C652" s="64" t="s">
        <v>100</v>
      </c>
      <c r="D652" s="64" t="s">
        <v>6</v>
      </c>
      <c r="E652" s="64" t="s">
        <v>51</v>
      </c>
      <c r="F652" s="71" t="n">
        <f aca="false">Menu!D360</f>
        <v>130</v>
      </c>
      <c r="G652" s="64" t="s">
        <v>15</v>
      </c>
      <c r="H652" s="66" t="n">
        <f aca="false">F652/INDEX(Valeurs!$B$2:$B$40,MATCH(E652,Valeurs!$A$2:$A$40,0))*INDEX(Valeurs!$D$2:$D$40,MATCH(E652,Valeurs!$A$2:$A$40,0))</f>
        <v>182</v>
      </c>
      <c r="I652" s="72" t="n">
        <f aca="false">F652/INDEX(Valeurs!$B$2:$B$40,MATCH(E652,Valeurs!$A$2:$A$40,0))*INDEX(Valeurs!$E$2:$E$40,MATCH(E652,Valeurs!$A$2:$A$40,0))</f>
        <v>27.3</v>
      </c>
      <c r="J652" s="64" t="n">
        <v>2</v>
      </c>
    </row>
    <row r="653" customFormat="false" ht="15" hidden="false" customHeight="false" outlineLevel="0" collapsed="false">
      <c r="A653" s="70" t="n">
        <v>46310</v>
      </c>
      <c r="B653" s="64" t="s">
        <v>29</v>
      </c>
      <c r="C653" s="64" t="s">
        <v>100</v>
      </c>
      <c r="D653" s="64" t="s">
        <v>7</v>
      </c>
      <c r="E653" s="64" t="s">
        <v>51</v>
      </c>
      <c r="F653" s="71" t="n">
        <f aca="false">Menu!E360</f>
        <v>100</v>
      </c>
      <c r="G653" s="64" t="s">
        <v>15</v>
      </c>
      <c r="H653" s="66" t="n">
        <f aca="false">F653/INDEX(Valeurs!$B$2:$B$40,MATCH(E653,Valeurs!$A$2:$A$40,0))*INDEX(Valeurs!$D$2:$D$40,MATCH(E653,Valeurs!$A$2:$A$40,0))</f>
        <v>140</v>
      </c>
      <c r="I653" s="72" t="n">
        <f aca="false">F653/INDEX(Valeurs!$B$2:$B$40,MATCH(E653,Valeurs!$A$2:$A$40,0))*INDEX(Valeurs!$E$2:$E$40,MATCH(E653,Valeurs!$A$2:$A$40,0))</f>
        <v>21</v>
      </c>
      <c r="J653" s="64" t="n">
        <v>2</v>
      </c>
    </row>
    <row r="654" customFormat="false" ht="15" hidden="false" customHeight="false" outlineLevel="0" collapsed="false">
      <c r="A654" s="70" t="n">
        <v>46310</v>
      </c>
      <c r="B654" s="64" t="s">
        <v>29</v>
      </c>
      <c r="C654" s="64" t="s">
        <v>100</v>
      </c>
      <c r="D654" s="64" t="s">
        <v>6</v>
      </c>
      <c r="E654" s="64" t="s">
        <v>43</v>
      </c>
      <c r="F654" s="71" t="n">
        <f aca="false">Menu!D361</f>
        <v>85</v>
      </c>
      <c r="G654" s="64" t="s">
        <v>15</v>
      </c>
      <c r="H654" s="66" t="n">
        <f aca="false">F654/INDEX(Valeurs!$B$2:$B$40,MATCH(E654,Valeurs!$A$2:$A$40,0))*INDEX(Valeurs!$D$2:$D$40,MATCH(E654,Valeurs!$A$2:$A$40,0))</f>
        <v>301.75</v>
      </c>
      <c r="I654" s="72" t="n">
        <f aca="false">F654/INDEX(Valeurs!$B$2:$B$40,MATCH(E654,Valeurs!$A$2:$A$40,0))*INDEX(Valeurs!$E$2:$E$40,MATCH(E654,Valeurs!$A$2:$A$40,0))</f>
        <v>5.95</v>
      </c>
      <c r="J654" s="64" t="n">
        <v>2</v>
      </c>
    </row>
    <row r="655" customFormat="false" ht="15" hidden="false" customHeight="false" outlineLevel="0" collapsed="false">
      <c r="A655" s="70" t="n">
        <v>46310</v>
      </c>
      <c r="B655" s="64" t="s">
        <v>29</v>
      </c>
      <c r="C655" s="64" t="s">
        <v>100</v>
      </c>
      <c r="D655" s="64" t="s">
        <v>7</v>
      </c>
      <c r="E655" s="64" t="s">
        <v>43</v>
      </c>
      <c r="F655" s="71" t="n">
        <f aca="false">Menu!E361</f>
        <v>45</v>
      </c>
      <c r="G655" s="64" t="s">
        <v>15</v>
      </c>
      <c r="H655" s="66" t="n">
        <f aca="false">F655/INDEX(Valeurs!$B$2:$B$40,MATCH(E655,Valeurs!$A$2:$A$40,0))*INDEX(Valeurs!$D$2:$D$40,MATCH(E655,Valeurs!$A$2:$A$40,0))</f>
        <v>159.75</v>
      </c>
      <c r="I655" s="72" t="n">
        <f aca="false">F655/INDEX(Valeurs!$B$2:$B$40,MATCH(E655,Valeurs!$A$2:$A$40,0))*INDEX(Valeurs!$E$2:$E$40,MATCH(E655,Valeurs!$A$2:$A$40,0))</f>
        <v>3.15</v>
      </c>
      <c r="J655" s="64" t="n">
        <v>2</v>
      </c>
    </row>
    <row r="656" customFormat="false" ht="15" hidden="false" customHeight="false" outlineLevel="0" collapsed="false">
      <c r="A656" s="70" t="n">
        <v>46310</v>
      </c>
      <c r="B656" s="64" t="s">
        <v>29</v>
      </c>
      <c r="C656" s="64" t="s">
        <v>100</v>
      </c>
      <c r="D656" s="64" t="s">
        <v>6</v>
      </c>
      <c r="E656" s="64" t="s">
        <v>34</v>
      </c>
      <c r="F656" s="71" t="n">
        <f aca="false">Menu!D362</f>
        <v>50</v>
      </c>
      <c r="G656" s="64" t="s">
        <v>15</v>
      </c>
      <c r="H656" s="66" t="n">
        <f aca="false">F656/INDEX(Valeurs!$B$2:$B$40,MATCH(E656,Valeurs!$A$2:$A$40,0))*INDEX(Valeurs!$D$2:$D$40,MATCH(E656,Valeurs!$A$2:$A$40,0))</f>
        <v>13.5</v>
      </c>
      <c r="I656" s="72" t="n">
        <f aca="false">F656/INDEX(Valeurs!$B$2:$B$40,MATCH(E656,Valeurs!$A$2:$A$40,0))*INDEX(Valeurs!$E$2:$E$40,MATCH(E656,Valeurs!$A$2:$A$40,0))</f>
        <v>0.5</v>
      </c>
      <c r="J656" s="64" t="n">
        <v>2</v>
      </c>
    </row>
    <row r="657" customFormat="false" ht="15" hidden="false" customHeight="false" outlineLevel="0" collapsed="false">
      <c r="A657" s="70" t="n">
        <v>46310</v>
      </c>
      <c r="B657" s="64" t="s">
        <v>29</v>
      </c>
      <c r="C657" s="64" t="s">
        <v>100</v>
      </c>
      <c r="D657" s="64" t="s">
        <v>7</v>
      </c>
      <c r="E657" s="64" t="s">
        <v>34</v>
      </c>
      <c r="F657" s="71" t="n">
        <f aca="false">Menu!E362</f>
        <v>60</v>
      </c>
      <c r="G657" s="64" t="s">
        <v>15</v>
      </c>
      <c r="H657" s="66" t="n">
        <f aca="false">F657/INDEX(Valeurs!$B$2:$B$40,MATCH(E657,Valeurs!$A$2:$A$40,0))*INDEX(Valeurs!$D$2:$D$40,MATCH(E657,Valeurs!$A$2:$A$40,0))</f>
        <v>16.2</v>
      </c>
      <c r="I657" s="72" t="n">
        <f aca="false">F657/INDEX(Valeurs!$B$2:$B$40,MATCH(E657,Valeurs!$A$2:$A$40,0))*INDEX(Valeurs!$E$2:$E$40,MATCH(E657,Valeurs!$A$2:$A$40,0))</f>
        <v>0.6</v>
      </c>
      <c r="J657" s="64" t="n">
        <v>2</v>
      </c>
    </row>
    <row r="658" customFormat="false" ht="15" hidden="false" customHeight="false" outlineLevel="0" collapsed="false">
      <c r="A658" s="70" t="n">
        <v>46310</v>
      </c>
      <c r="B658" s="64" t="s">
        <v>29</v>
      </c>
      <c r="C658" s="64" t="s">
        <v>100</v>
      </c>
      <c r="D658" s="64" t="s">
        <v>6</v>
      </c>
      <c r="E658" s="64" t="s">
        <v>44</v>
      </c>
      <c r="F658" s="71" t="n">
        <f aca="false">Menu!D363</f>
        <v>80</v>
      </c>
      <c r="G658" s="64" t="s">
        <v>15</v>
      </c>
      <c r="H658" s="66" t="n">
        <f aca="false">F658/INDEX(Valeurs!$B$2:$B$40,MATCH(E658,Valeurs!$A$2:$A$40,0))*INDEX(Valeurs!$D$2:$D$40,MATCH(E658,Valeurs!$A$2:$A$40,0))</f>
        <v>32.8</v>
      </c>
      <c r="I658" s="72" t="n">
        <f aca="false">F658/INDEX(Valeurs!$B$2:$B$40,MATCH(E658,Valeurs!$A$2:$A$40,0))*INDEX(Valeurs!$E$2:$E$40,MATCH(E658,Valeurs!$A$2:$A$40,0))</f>
        <v>0.72</v>
      </c>
      <c r="J658" s="64" t="n">
        <v>2</v>
      </c>
    </row>
    <row r="659" customFormat="false" ht="15" hidden="false" customHeight="false" outlineLevel="0" collapsed="false">
      <c r="A659" s="70" t="n">
        <v>46310</v>
      </c>
      <c r="B659" s="64" t="s">
        <v>29</v>
      </c>
      <c r="C659" s="64" t="s">
        <v>100</v>
      </c>
      <c r="D659" s="64" t="s">
        <v>7</v>
      </c>
      <c r="E659" s="64" t="s">
        <v>44</v>
      </c>
      <c r="F659" s="71" t="n">
        <f aca="false">Menu!E363</f>
        <v>100</v>
      </c>
      <c r="G659" s="64" t="s">
        <v>15</v>
      </c>
      <c r="H659" s="66" t="n">
        <f aca="false">F659/INDEX(Valeurs!$B$2:$B$40,MATCH(E659,Valeurs!$A$2:$A$40,0))*INDEX(Valeurs!$D$2:$D$40,MATCH(E659,Valeurs!$A$2:$A$40,0))</f>
        <v>41</v>
      </c>
      <c r="I659" s="72" t="n">
        <f aca="false">F659/INDEX(Valeurs!$B$2:$B$40,MATCH(E659,Valeurs!$A$2:$A$40,0))*INDEX(Valeurs!$E$2:$E$40,MATCH(E659,Valeurs!$A$2:$A$40,0))</f>
        <v>0.9</v>
      </c>
      <c r="J659" s="64" t="n">
        <v>2</v>
      </c>
    </row>
    <row r="660" customFormat="false" ht="15" hidden="false" customHeight="false" outlineLevel="0" collapsed="false">
      <c r="A660" s="70" t="n">
        <v>46310</v>
      </c>
      <c r="B660" s="64" t="s">
        <v>29</v>
      </c>
      <c r="C660" s="64" t="s">
        <v>100</v>
      </c>
      <c r="D660" s="64" t="s">
        <v>6</v>
      </c>
      <c r="E660" s="64" t="s">
        <v>33</v>
      </c>
      <c r="F660" s="71" t="n">
        <f aca="false">Menu!D364</f>
        <v>60</v>
      </c>
      <c r="G660" s="64" t="s">
        <v>15</v>
      </c>
      <c r="H660" s="66" t="n">
        <f aca="false">F660/INDEX(Valeurs!$B$2:$B$40,MATCH(E660,Valeurs!$A$2:$A$40,0))*INDEX(Valeurs!$D$2:$D$40,MATCH(E660,Valeurs!$A$2:$A$40,0))</f>
        <v>10.2</v>
      </c>
      <c r="I660" s="72" t="n">
        <f aca="false">F660/INDEX(Valeurs!$B$2:$B$40,MATCH(E660,Valeurs!$A$2:$A$40,0))*INDEX(Valeurs!$E$2:$E$40,MATCH(E660,Valeurs!$A$2:$A$40,0))</f>
        <v>0.72</v>
      </c>
      <c r="J660" s="64" t="n">
        <v>2</v>
      </c>
    </row>
    <row r="661" customFormat="false" ht="15" hidden="false" customHeight="false" outlineLevel="0" collapsed="false">
      <c r="A661" s="70" t="n">
        <v>46310</v>
      </c>
      <c r="B661" s="64" t="s">
        <v>29</v>
      </c>
      <c r="C661" s="64" t="s">
        <v>100</v>
      </c>
      <c r="D661" s="64" t="s">
        <v>7</v>
      </c>
      <c r="E661" s="64" t="s">
        <v>33</v>
      </c>
      <c r="F661" s="71" t="n">
        <f aca="false">Menu!E364</f>
        <v>80</v>
      </c>
      <c r="G661" s="64" t="s">
        <v>15</v>
      </c>
      <c r="H661" s="66" t="n">
        <f aca="false">F661/INDEX(Valeurs!$B$2:$B$40,MATCH(E661,Valeurs!$A$2:$A$40,0))*INDEX(Valeurs!$D$2:$D$40,MATCH(E661,Valeurs!$A$2:$A$40,0))</f>
        <v>13.6</v>
      </c>
      <c r="I661" s="72" t="n">
        <f aca="false">F661/INDEX(Valeurs!$B$2:$B$40,MATCH(E661,Valeurs!$A$2:$A$40,0))*INDEX(Valeurs!$E$2:$E$40,MATCH(E661,Valeurs!$A$2:$A$40,0))</f>
        <v>0.96</v>
      </c>
      <c r="J661" s="64" t="n">
        <v>2</v>
      </c>
    </row>
    <row r="662" customFormat="false" ht="15" hidden="false" customHeight="false" outlineLevel="0" collapsed="false">
      <c r="A662" s="70" t="n">
        <v>46310</v>
      </c>
      <c r="B662" s="64" t="s">
        <v>29</v>
      </c>
      <c r="C662" s="64" t="s">
        <v>100</v>
      </c>
      <c r="D662" s="64" t="s">
        <v>6</v>
      </c>
      <c r="E662" s="64" t="s">
        <v>35</v>
      </c>
      <c r="F662" s="71" t="n">
        <f aca="false">Menu!D365</f>
        <v>30</v>
      </c>
      <c r="G662" s="64" t="s">
        <v>15</v>
      </c>
      <c r="H662" s="66" t="n">
        <f aca="false">F662/INDEX(Valeurs!$B$2:$B$40,MATCH(E662,Valeurs!$A$2:$A$40,0))*INDEX(Valeurs!$D$2:$D$40,MATCH(E662,Valeurs!$A$2:$A$40,0))</f>
        <v>12</v>
      </c>
      <c r="I662" s="72" t="n">
        <f aca="false">F662/INDEX(Valeurs!$B$2:$B$40,MATCH(E662,Valeurs!$A$2:$A$40,0))*INDEX(Valeurs!$E$2:$E$40,MATCH(E662,Valeurs!$A$2:$A$40,0))</f>
        <v>0.33</v>
      </c>
      <c r="J662" s="64" t="n">
        <v>2</v>
      </c>
    </row>
    <row r="663" customFormat="false" ht="15" hidden="false" customHeight="false" outlineLevel="0" collapsed="false">
      <c r="A663" s="70" t="n">
        <v>46310</v>
      </c>
      <c r="B663" s="64" t="s">
        <v>29</v>
      </c>
      <c r="C663" s="64" t="s">
        <v>100</v>
      </c>
      <c r="D663" s="64" t="s">
        <v>7</v>
      </c>
      <c r="E663" s="64" t="s">
        <v>35</v>
      </c>
      <c r="F663" s="71" t="n">
        <f aca="false">Menu!E365</f>
        <v>30</v>
      </c>
      <c r="G663" s="64" t="s">
        <v>15</v>
      </c>
      <c r="H663" s="66" t="n">
        <f aca="false">F663/INDEX(Valeurs!$B$2:$B$40,MATCH(E663,Valeurs!$A$2:$A$40,0))*INDEX(Valeurs!$D$2:$D$40,MATCH(E663,Valeurs!$A$2:$A$40,0))</f>
        <v>12</v>
      </c>
      <c r="I663" s="72" t="n">
        <f aca="false">F663/INDEX(Valeurs!$B$2:$B$40,MATCH(E663,Valeurs!$A$2:$A$40,0))*INDEX(Valeurs!$E$2:$E$40,MATCH(E663,Valeurs!$A$2:$A$40,0))</f>
        <v>0.33</v>
      </c>
      <c r="J663" s="64" t="n">
        <v>2</v>
      </c>
    </row>
    <row r="664" customFormat="false" ht="15" hidden="false" customHeight="false" outlineLevel="0" collapsed="false">
      <c r="A664" s="70" t="n">
        <v>46310</v>
      </c>
      <c r="B664" s="64" t="s">
        <v>29</v>
      </c>
      <c r="C664" s="64" t="s">
        <v>100</v>
      </c>
      <c r="D664" s="64" t="s">
        <v>6</v>
      </c>
      <c r="E664" s="64" t="s">
        <v>28</v>
      </c>
      <c r="F664" s="71" t="n">
        <f aca="false">Menu!D366</f>
        <v>10</v>
      </c>
      <c r="G664" s="64" t="s">
        <v>15</v>
      </c>
      <c r="H664" s="66" t="n">
        <f aca="false">F664/INDEX(Valeurs!$B$2:$B$40,MATCH(E664,Valeurs!$A$2:$A$40,0))*INDEX(Valeurs!$D$2:$D$40,MATCH(E664,Valeurs!$A$2:$A$40,0))</f>
        <v>90</v>
      </c>
      <c r="I664" s="72" t="n">
        <f aca="false">F664/INDEX(Valeurs!$B$2:$B$40,MATCH(E664,Valeurs!$A$2:$A$40,0))*INDEX(Valeurs!$E$2:$E$40,MATCH(E664,Valeurs!$A$2:$A$40,0))</f>
        <v>0</v>
      </c>
      <c r="J664" s="64" t="n">
        <v>2</v>
      </c>
    </row>
    <row r="665" customFormat="false" ht="15" hidden="false" customHeight="false" outlineLevel="0" collapsed="false">
      <c r="A665" s="70" t="n">
        <v>46310</v>
      </c>
      <c r="B665" s="64" t="s">
        <v>29</v>
      </c>
      <c r="C665" s="64" t="s">
        <v>100</v>
      </c>
      <c r="D665" s="64" t="s">
        <v>7</v>
      </c>
      <c r="E665" s="64" t="s">
        <v>28</v>
      </c>
      <c r="F665" s="71" t="n">
        <f aca="false">Menu!E366</f>
        <v>7</v>
      </c>
      <c r="G665" s="64" t="s">
        <v>15</v>
      </c>
      <c r="H665" s="66" t="n">
        <f aca="false">F665/INDEX(Valeurs!$B$2:$B$40,MATCH(E665,Valeurs!$A$2:$A$40,0))*INDEX(Valeurs!$D$2:$D$40,MATCH(E665,Valeurs!$A$2:$A$40,0))</f>
        <v>63</v>
      </c>
      <c r="I665" s="72" t="n">
        <f aca="false">F665/INDEX(Valeurs!$B$2:$B$40,MATCH(E665,Valeurs!$A$2:$A$40,0))*INDEX(Valeurs!$E$2:$E$40,MATCH(E665,Valeurs!$A$2:$A$40,0))</f>
        <v>0</v>
      </c>
      <c r="J665" s="64" t="n">
        <v>2</v>
      </c>
    </row>
    <row r="666" customFormat="false" ht="15" hidden="false" customHeight="false" outlineLevel="0" collapsed="false">
      <c r="A666" s="70" t="n">
        <v>46310</v>
      </c>
      <c r="B666" s="64" t="s">
        <v>36</v>
      </c>
      <c r="C666" s="64" t="s">
        <v>37</v>
      </c>
      <c r="D666" s="64" t="s">
        <v>6</v>
      </c>
      <c r="E666" s="64" t="s">
        <v>38</v>
      </c>
      <c r="F666" s="71" t="n">
        <f aca="false">Menu!D367</f>
        <v>125</v>
      </c>
      <c r="G666" s="64" t="s">
        <v>15</v>
      </c>
      <c r="H666" s="66" t="n">
        <f aca="false">F666/INDEX(Valeurs!$B$2:$B$40,MATCH(E666,Valeurs!$A$2:$A$40,0))*INDEX(Valeurs!$D$2:$D$40,MATCH(E666,Valeurs!$A$2:$A$40,0))</f>
        <v>75</v>
      </c>
      <c r="I666" s="72" t="n">
        <f aca="false">F666/INDEX(Valeurs!$B$2:$B$40,MATCH(E666,Valeurs!$A$2:$A$40,0))*INDEX(Valeurs!$E$2:$E$40,MATCH(E666,Valeurs!$A$2:$A$40,0))</f>
        <v>5.625</v>
      </c>
      <c r="J666" s="64" t="n">
        <v>2</v>
      </c>
    </row>
    <row r="667" customFormat="false" ht="15" hidden="false" customHeight="false" outlineLevel="0" collapsed="false">
      <c r="A667" s="70" t="n">
        <v>46310</v>
      </c>
      <c r="B667" s="64" t="s">
        <v>36</v>
      </c>
      <c r="C667" s="64" t="s">
        <v>37</v>
      </c>
      <c r="D667" s="64" t="s">
        <v>7</v>
      </c>
      <c r="E667" s="64" t="s">
        <v>38</v>
      </c>
      <c r="F667" s="71" t="n">
        <f aca="false">Menu!E367</f>
        <v>125</v>
      </c>
      <c r="G667" s="64" t="s">
        <v>15</v>
      </c>
      <c r="H667" s="66" t="n">
        <f aca="false">F667/INDEX(Valeurs!$B$2:$B$40,MATCH(E667,Valeurs!$A$2:$A$40,0))*INDEX(Valeurs!$D$2:$D$40,MATCH(E667,Valeurs!$A$2:$A$40,0))</f>
        <v>75</v>
      </c>
      <c r="I667" s="72" t="n">
        <f aca="false">F667/INDEX(Valeurs!$B$2:$B$40,MATCH(E667,Valeurs!$A$2:$A$40,0))*INDEX(Valeurs!$E$2:$E$40,MATCH(E667,Valeurs!$A$2:$A$40,0))</f>
        <v>5.625</v>
      </c>
      <c r="J667" s="64" t="n">
        <v>2</v>
      </c>
    </row>
    <row r="668" customFormat="false" ht="15" hidden="false" customHeight="false" outlineLevel="0" collapsed="false">
      <c r="A668" s="70" t="n">
        <v>46310</v>
      </c>
      <c r="B668" s="64" t="s">
        <v>36</v>
      </c>
      <c r="C668" s="64" t="s">
        <v>37</v>
      </c>
      <c r="D668" s="64" t="s">
        <v>6</v>
      </c>
      <c r="E668" s="64" t="s">
        <v>39</v>
      </c>
      <c r="F668" s="71" t="n">
        <f aca="false">Menu!D368</f>
        <v>10</v>
      </c>
      <c r="G668" s="64" t="s">
        <v>15</v>
      </c>
      <c r="H668" s="66" t="n">
        <f aca="false">F668/INDEX(Valeurs!$B$2:$B$40,MATCH(E668,Valeurs!$A$2:$A$40,0))*INDEX(Valeurs!$D$2:$D$40,MATCH(E668,Valeurs!$A$2:$A$40,0))</f>
        <v>58</v>
      </c>
      <c r="I668" s="72" t="n">
        <f aca="false">F668/INDEX(Valeurs!$B$2:$B$40,MATCH(E668,Valeurs!$A$2:$A$40,0))*INDEX(Valeurs!$E$2:$E$40,MATCH(E668,Valeurs!$A$2:$A$40,0))</f>
        <v>0.75</v>
      </c>
      <c r="J668" s="64" t="n">
        <v>2</v>
      </c>
    </row>
    <row r="669" customFormat="false" ht="15" hidden="false" customHeight="false" outlineLevel="0" collapsed="false">
      <c r="A669" s="70" t="n">
        <v>46310</v>
      </c>
      <c r="B669" s="64" t="s">
        <v>36</v>
      </c>
      <c r="C669" s="64" t="s">
        <v>37</v>
      </c>
      <c r="D669" s="64" t="s">
        <v>7</v>
      </c>
      <c r="E669" s="64" t="s">
        <v>39</v>
      </c>
      <c r="F669" s="71" t="n">
        <f aca="false">Menu!E368</f>
        <v>10</v>
      </c>
      <c r="G669" s="64" t="s">
        <v>15</v>
      </c>
      <c r="H669" s="66" t="n">
        <f aca="false">F669/INDEX(Valeurs!$B$2:$B$40,MATCH(E669,Valeurs!$A$2:$A$40,0))*INDEX(Valeurs!$D$2:$D$40,MATCH(E669,Valeurs!$A$2:$A$40,0))</f>
        <v>58</v>
      </c>
      <c r="I669" s="72" t="n">
        <f aca="false">F669/INDEX(Valeurs!$B$2:$B$40,MATCH(E669,Valeurs!$A$2:$A$40,0))*INDEX(Valeurs!$E$2:$E$40,MATCH(E669,Valeurs!$A$2:$A$40,0))</f>
        <v>0.75</v>
      </c>
      <c r="J669" s="64" t="n">
        <v>2</v>
      </c>
    </row>
    <row r="670" customFormat="false" ht="15" hidden="false" customHeight="false" outlineLevel="0" collapsed="false">
      <c r="A670" s="70" t="n">
        <v>46311</v>
      </c>
      <c r="B670" s="64" t="s">
        <v>10</v>
      </c>
      <c r="C670" s="64" t="s">
        <v>11</v>
      </c>
      <c r="D670" s="64" t="s">
        <v>6</v>
      </c>
      <c r="E670" s="64" t="s">
        <v>12</v>
      </c>
      <c r="F670" s="71" t="n">
        <f aca="false">Menu!D371</f>
        <v>250</v>
      </c>
      <c r="G670" s="64" t="s">
        <v>13</v>
      </c>
      <c r="H670" s="66" t="n">
        <f aca="false">F670/INDEX(Valeurs!$B$2:$B$40,MATCH(E670,Valeurs!$A$2:$A$40,0))*INDEX(Valeurs!$D$2:$D$40,MATCH(E670,Valeurs!$A$2:$A$40,0))</f>
        <v>115</v>
      </c>
      <c r="I670" s="72" t="n">
        <f aca="false">F670/INDEX(Valeurs!$B$2:$B$40,MATCH(E670,Valeurs!$A$2:$A$40,0))*INDEX(Valeurs!$E$2:$E$40,MATCH(E670,Valeurs!$A$2:$A$40,0))</f>
        <v>8.25</v>
      </c>
      <c r="J670" s="64" t="n">
        <v>2</v>
      </c>
    </row>
    <row r="671" customFormat="false" ht="15" hidden="false" customHeight="false" outlineLevel="0" collapsed="false">
      <c r="A671" s="70" t="n">
        <v>46311</v>
      </c>
      <c r="B671" s="64" t="s">
        <v>10</v>
      </c>
      <c r="C671" s="64" t="s">
        <v>11</v>
      </c>
      <c r="D671" s="64" t="s">
        <v>7</v>
      </c>
      <c r="E671" s="64" t="s">
        <v>12</v>
      </c>
      <c r="F671" s="71" t="n">
        <f aca="false">Menu!E371</f>
        <v>0</v>
      </c>
      <c r="G671" s="64" t="s">
        <v>13</v>
      </c>
      <c r="H671" s="66" t="n">
        <f aca="false">F671/INDEX(Valeurs!$B$2:$B$40,MATCH(E671,Valeurs!$A$2:$A$40,0))*INDEX(Valeurs!$D$2:$D$40,MATCH(E671,Valeurs!$A$2:$A$40,0))</f>
        <v>0</v>
      </c>
      <c r="I671" s="72" t="n">
        <f aca="false">F671/INDEX(Valeurs!$B$2:$B$40,MATCH(E671,Valeurs!$A$2:$A$40,0))*INDEX(Valeurs!$E$2:$E$40,MATCH(E671,Valeurs!$A$2:$A$40,0))</f>
        <v>0</v>
      </c>
      <c r="J671" s="64" t="n">
        <v>2</v>
      </c>
    </row>
    <row r="672" customFormat="false" ht="15" hidden="false" customHeight="false" outlineLevel="0" collapsed="false">
      <c r="A672" s="70" t="n">
        <v>46311</v>
      </c>
      <c r="B672" s="64" t="s">
        <v>10</v>
      </c>
      <c r="C672" s="64" t="s">
        <v>11</v>
      </c>
      <c r="D672" s="64" t="s">
        <v>6</v>
      </c>
      <c r="E672" s="64" t="s">
        <v>14</v>
      </c>
      <c r="F672" s="71" t="n">
        <f aca="false">Menu!D372</f>
        <v>100</v>
      </c>
      <c r="G672" s="64" t="s">
        <v>15</v>
      </c>
      <c r="H672" s="66" t="n">
        <f aca="false">F672/INDEX(Valeurs!$B$2:$B$40,MATCH(E672,Valeurs!$A$2:$A$40,0))*INDEX(Valeurs!$D$2:$D$40,MATCH(E672,Valeurs!$A$2:$A$40,0))</f>
        <v>90</v>
      </c>
      <c r="I672" s="72" t="n">
        <f aca="false">F672/INDEX(Valeurs!$B$2:$B$40,MATCH(E672,Valeurs!$A$2:$A$40,0))*INDEX(Valeurs!$E$2:$E$40,MATCH(E672,Valeurs!$A$2:$A$40,0))</f>
        <v>1.1</v>
      </c>
      <c r="J672" s="64" t="n">
        <v>2</v>
      </c>
    </row>
    <row r="673" customFormat="false" ht="15" hidden="false" customHeight="false" outlineLevel="0" collapsed="false">
      <c r="A673" s="70" t="n">
        <v>46311</v>
      </c>
      <c r="B673" s="64" t="s">
        <v>10</v>
      </c>
      <c r="C673" s="64" t="s">
        <v>11</v>
      </c>
      <c r="D673" s="64" t="s">
        <v>7</v>
      </c>
      <c r="E673" s="64" t="s">
        <v>14</v>
      </c>
      <c r="F673" s="71" t="n">
        <f aca="false">Menu!E372</f>
        <v>0</v>
      </c>
      <c r="G673" s="64" t="s">
        <v>15</v>
      </c>
      <c r="H673" s="66" t="n">
        <f aca="false">F673/INDEX(Valeurs!$B$2:$B$40,MATCH(E673,Valeurs!$A$2:$A$40,0))*INDEX(Valeurs!$D$2:$D$40,MATCH(E673,Valeurs!$A$2:$A$40,0))</f>
        <v>0</v>
      </c>
      <c r="I673" s="72" t="n">
        <f aca="false">F673/INDEX(Valeurs!$B$2:$B$40,MATCH(E673,Valeurs!$A$2:$A$40,0))*INDEX(Valeurs!$E$2:$E$40,MATCH(E673,Valeurs!$A$2:$A$40,0))</f>
        <v>0</v>
      </c>
      <c r="J673" s="64" t="n">
        <v>2</v>
      </c>
    </row>
    <row r="674" customFormat="false" ht="15" hidden="false" customHeight="false" outlineLevel="0" collapsed="false">
      <c r="A674" s="70" t="n">
        <v>46311</v>
      </c>
      <c r="B674" s="64" t="s">
        <v>10</v>
      </c>
      <c r="C674" s="64" t="s">
        <v>11</v>
      </c>
      <c r="D674" s="64" t="s">
        <v>6</v>
      </c>
      <c r="E674" s="64" t="s">
        <v>16</v>
      </c>
      <c r="F674" s="71" t="n">
        <f aca="false">Menu!D373</f>
        <v>65</v>
      </c>
      <c r="G674" s="64" t="s">
        <v>15</v>
      </c>
      <c r="H674" s="66" t="n">
        <f aca="false">F674/INDEX(Valeurs!$B$2:$B$40,MATCH(E674,Valeurs!$A$2:$A$40,0))*INDEX(Valeurs!$D$2:$D$40,MATCH(E674,Valeurs!$A$2:$A$40,0))</f>
        <v>241.8</v>
      </c>
      <c r="I674" s="72" t="n">
        <f aca="false">F674/INDEX(Valeurs!$B$2:$B$40,MATCH(E674,Valeurs!$A$2:$A$40,0))*INDEX(Valeurs!$E$2:$E$40,MATCH(E674,Valeurs!$A$2:$A$40,0))</f>
        <v>8.775</v>
      </c>
      <c r="J674" s="64" t="n">
        <v>2</v>
      </c>
    </row>
    <row r="675" customFormat="false" ht="15" hidden="false" customHeight="false" outlineLevel="0" collapsed="false">
      <c r="A675" s="70" t="n">
        <v>46311</v>
      </c>
      <c r="B675" s="64" t="s">
        <v>10</v>
      </c>
      <c r="C675" s="64" t="s">
        <v>11</v>
      </c>
      <c r="D675" s="64" t="s">
        <v>7</v>
      </c>
      <c r="E675" s="64" t="s">
        <v>16</v>
      </c>
      <c r="F675" s="71" t="n">
        <f aca="false">Menu!E373</f>
        <v>0</v>
      </c>
      <c r="G675" s="64" t="s">
        <v>15</v>
      </c>
      <c r="H675" s="66" t="n">
        <f aca="false">F675/INDEX(Valeurs!$B$2:$B$40,MATCH(E675,Valeurs!$A$2:$A$40,0))*INDEX(Valeurs!$D$2:$D$40,MATCH(E675,Valeurs!$A$2:$A$40,0))</f>
        <v>0</v>
      </c>
      <c r="I675" s="72" t="n">
        <f aca="false">F675/INDEX(Valeurs!$B$2:$B$40,MATCH(E675,Valeurs!$A$2:$A$40,0))*INDEX(Valeurs!$E$2:$E$40,MATCH(E675,Valeurs!$A$2:$A$40,0))</f>
        <v>0</v>
      </c>
      <c r="J675" s="64" t="n">
        <v>2</v>
      </c>
    </row>
    <row r="676" customFormat="false" ht="15" hidden="false" customHeight="false" outlineLevel="0" collapsed="false">
      <c r="A676" s="70" t="n">
        <v>46311</v>
      </c>
      <c r="B676" s="64" t="s">
        <v>10</v>
      </c>
      <c r="C676" s="64" t="s">
        <v>11</v>
      </c>
      <c r="D676" s="64" t="s">
        <v>6</v>
      </c>
      <c r="E676" s="64" t="s">
        <v>17</v>
      </c>
      <c r="F676" s="71" t="n">
        <f aca="false">Menu!D374</f>
        <v>1</v>
      </c>
      <c r="G676" s="64" t="s">
        <v>171</v>
      </c>
      <c r="H676" s="66" t="n">
        <f aca="false">F676/INDEX(Valeurs!$B$2:$B$40,MATCH(E676,Valeurs!$A$2:$A$40,0))*INDEX(Valeurs!$D$2:$D$40,MATCH(E676,Valeurs!$A$2:$A$40,0))</f>
        <v>87</v>
      </c>
      <c r="I676" s="72" t="n">
        <f aca="false">F676/INDEX(Valeurs!$B$2:$B$40,MATCH(E676,Valeurs!$A$2:$A$40,0))*INDEX(Valeurs!$E$2:$E$40,MATCH(E676,Valeurs!$A$2:$A$40,0))</f>
        <v>7.5</v>
      </c>
      <c r="J676" s="64" t="n">
        <v>2</v>
      </c>
    </row>
    <row r="677" customFormat="false" ht="15" hidden="false" customHeight="false" outlineLevel="0" collapsed="false">
      <c r="A677" s="70" t="n">
        <v>46311</v>
      </c>
      <c r="B677" s="64" t="s">
        <v>10</v>
      </c>
      <c r="C677" s="64" t="s">
        <v>11</v>
      </c>
      <c r="D677" s="64" t="s">
        <v>7</v>
      </c>
      <c r="E677" s="64" t="s">
        <v>17</v>
      </c>
      <c r="F677" s="71" t="n">
        <f aca="false">Menu!E374</f>
        <v>2</v>
      </c>
      <c r="G677" s="64" t="s">
        <v>171</v>
      </c>
      <c r="H677" s="66" t="n">
        <f aca="false">F677/INDEX(Valeurs!$B$2:$B$40,MATCH(E677,Valeurs!$A$2:$A$40,0))*INDEX(Valeurs!$D$2:$D$40,MATCH(E677,Valeurs!$A$2:$A$40,0))</f>
        <v>174</v>
      </c>
      <c r="I677" s="72" t="n">
        <f aca="false">F677/INDEX(Valeurs!$B$2:$B$40,MATCH(E677,Valeurs!$A$2:$A$40,0))*INDEX(Valeurs!$E$2:$E$40,MATCH(E677,Valeurs!$A$2:$A$40,0))</f>
        <v>15</v>
      </c>
      <c r="J677" s="64" t="n">
        <v>2</v>
      </c>
    </row>
    <row r="678" customFormat="false" ht="15" hidden="false" customHeight="false" outlineLevel="0" collapsed="false">
      <c r="A678" s="70" t="n">
        <v>46311</v>
      </c>
      <c r="B678" s="64" t="s">
        <v>10</v>
      </c>
      <c r="C678" s="64" t="s">
        <v>11</v>
      </c>
      <c r="D678" s="64" t="s">
        <v>6</v>
      </c>
      <c r="E678" s="64" t="s">
        <v>19</v>
      </c>
      <c r="F678" s="71" t="n">
        <f aca="false">Menu!D375</f>
        <v>0</v>
      </c>
      <c r="G678" s="64" t="s">
        <v>15</v>
      </c>
      <c r="H678" s="66" t="n">
        <f aca="false">F678/INDEX(Valeurs!$B$2:$B$40,MATCH(E678,Valeurs!$A$2:$A$40,0))*INDEX(Valeurs!$D$2:$D$40,MATCH(E678,Valeurs!$A$2:$A$40,0))</f>
        <v>0</v>
      </c>
      <c r="I678" s="72" t="n">
        <f aca="false">F678/INDEX(Valeurs!$B$2:$B$40,MATCH(E678,Valeurs!$A$2:$A$40,0))*INDEX(Valeurs!$E$2:$E$40,MATCH(E678,Valeurs!$A$2:$A$40,0))</f>
        <v>0</v>
      </c>
      <c r="J678" s="64" t="n">
        <v>2</v>
      </c>
    </row>
    <row r="679" customFormat="false" ht="15" hidden="false" customHeight="false" outlineLevel="0" collapsed="false">
      <c r="A679" s="70" t="n">
        <v>46311</v>
      </c>
      <c r="B679" s="64" t="s">
        <v>10</v>
      </c>
      <c r="C679" s="64" t="s">
        <v>11</v>
      </c>
      <c r="D679" s="64" t="s">
        <v>7</v>
      </c>
      <c r="E679" s="64" t="s">
        <v>19</v>
      </c>
      <c r="F679" s="71" t="n">
        <f aca="false">Menu!E375</f>
        <v>30</v>
      </c>
      <c r="G679" s="64" t="s">
        <v>15</v>
      </c>
      <c r="H679" s="66" t="n">
        <f aca="false">F679/INDEX(Valeurs!$B$2:$B$40,MATCH(E679,Valeurs!$A$2:$A$40,0))*INDEX(Valeurs!$D$2:$D$40,MATCH(E679,Valeurs!$A$2:$A$40,0))</f>
        <v>33</v>
      </c>
      <c r="I679" s="72" t="n">
        <f aca="false">F679/INDEX(Valeurs!$B$2:$B$40,MATCH(E679,Valeurs!$A$2:$A$40,0))*INDEX(Valeurs!$E$2:$E$40,MATCH(E679,Valeurs!$A$2:$A$40,0))</f>
        <v>6</v>
      </c>
      <c r="J679" s="64" t="n">
        <v>2</v>
      </c>
    </row>
    <row r="680" customFormat="false" ht="15" hidden="false" customHeight="false" outlineLevel="0" collapsed="false">
      <c r="A680" s="70" t="n">
        <v>46311</v>
      </c>
      <c r="B680" s="64" t="s">
        <v>10</v>
      </c>
      <c r="C680" s="64" t="s">
        <v>11</v>
      </c>
      <c r="D680" s="64" t="s">
        <v>6</v>
      </c>
      <c r="E680" s="64" t="s">
        <v>20</v>
      </c>
      <c r="F680" s="71" t="n">
        <f aca="false">Menu!D376</f>
        <v>0</v>
      </c>
      <c r="G680" s="64" t="s">
        <v>15</v>
      </c>
      <c r="H680" s="66" t="n">
        <f aca="false">F680/INDEX(Valeurs!$B$2:$B$40,MATCH(E680,Valeurs!$A$2:$A$40,0))*INDEX(Valeurs!$D$2:$D$40,MATCH(E680,Valeurs!$A$2:$A$40,0))</f>
        <v>0</v>
      </c>
      <c r="I680" s="72" t="n">
        <f aca="false">F680/INDEX(Valeurs!$B$2:$B$40,MATCH(E680,Valeurs!$A$2:$A$40,0))*INDEX(Valeurs!$E$2:$E$40,MATCH(E680,Valeurs!$A$2:$A$40,0))</f>
        <v>0</v>
      </c>
      <c r="J680" s="64" t="n">
        <v>2</v>
      </c>
    </row>
    <row r="681" customFormat="false" ht="15" hidden="false" customHeight="false" outlineLevel="0" collapsed="false">
      <c r="A681" s="70" t="n">
        <v>46311</v>
      </c>
      <c r="B681" s="64" t="s">
        <v>10</v>
      </c>
      <c r="C681" s="64" t="s">
        <v>11</v>
      </c>
      <c r="D681" s="64" t="s">
        <v>7</v>
      </c>
      <c r="E681" s="64" t="s">
        <v>20</v>
      </c>
      <c r="F681" s="71" t="n">
        <f aca="false">Menu!E376</f>
        <v>80</v>
      </c>
      <c r="G681" s="64" t="s">
        <v>15</v>
      </c>
      <c r="H681" s="66" t="n">
        <f aca="false">F681/INDEX(Valeurs!$B$2:$B$40,MATCH(E681,Valeurs!$A$2:$A$40,0))*INDEX(Valeurs!$D$2:$D$40,MATCH(E681,Valeurs!$A$2:$A$40,0))</f>
        <v>14.4</v>
      </c>
      <c r="I681" s="72" t="n">
        <f aca="false">F681/INDEX(Valeurs!$B$2:$B$40,MATCH(E681,Valeurs!$A$2:$A$40,0))*INDEX(Valeurs!$E$2:$E$40,MATCH(E681,Valeurs!$A$2:$A$40,0))</f>
        <v>0.72</v>
      </c>
      <c r="J681" s="64" t="n">
        <v>2</v>
      </c>
    </row>
    <row r="682" customFormat="false" ht="15" hidden="false" customHeight="false" outlineLevel="0" collapsed="false">
      <c r="A682" s="70" t="n">
        <v>46311</v>
      </c>
      <c r="B682" s="64" t="s">
        <v>10</v>
      </c>
      <c r="C682" s="64" t="s">
        <v>11</v>
      </c>
      <c r="D682" s="64" t="s">
        <v>6</v>
      </c>
      <c r="E682" s="64" t="s">
        <v>21</v>
      </c>
      <c r="F682" s="71" t="n">
        <f aca="false">Menu!D377</f>
        <v>0</v>
      </c>
      <c r="G682" s="64" t="s">
        <v>15</v>
      </c>
      <c r="H682" s="66" t="n">
        <f aca="false">F682/INDEX(Valeurs!$B$2:$B$40,MATCH(E682,Valeurs!$A$2:$A$40,0))*INDEX(Valeurs!$D$2:$D$40,MATCH(E682,Valeurs!$A$2:$A$40,0))</f>
        <v>0</v>
      </c>
      <c r="I682" s="72" t="n">
        <f aca="false">F682/INDEX(Valeurs!$B$2:$B$40,MATCH(E682,Valeurs!$A$2:$A$40,0))*INDEX(Valeurs!$E$2:$E$40,MATCH(E682,Valeurs!$A$2:$A$40,0))</f>
        <v>0</v>
      </c>
      <c r="J682" s="64" t="n">
        <v>2</v>
      </c>
    </row>
    <row r="683" customFormat="false" ht="15" hidden="false" customHeight="false" outlineLevel="0" collapsed="false">
      <c r="A683" s="70" t="n">
        <v>46311</v>
      </c>
      <c r="B683" s="64" t="s">
        <v>10</v>
      </c>
      <c r="C683" s="64" t="s">
        <v>11</v>
      </c>
      <c r="D683" s="64" t="s">
        <v>7</v>
      </c>
      <c r="E683" s="64" t="s">
        <v>21</v>
      </c>
      <c r="F683" s="71" t="n">
        <f aca="false">Menu!E377</f>
        <v>40</v>
      </c>
      <c r="G683" s="64" t="s">
        <v>15</v>
      </c>
      <c r="H683" s="66" t="n">
        <f aca="false">F683/INDEX(Valeurs!$B$2:$B$40,MATCH(E683,Valeurs!$A$2:$A$40,0))*INDEX(Valeurs!$D$2:$D$40,MATCH(E683,Valeurs!$A$2:$A$40,0))</f>
        <v>96</v>
      </c>
      <c r="I683" s="72" t="n">
        <f aca="false">F683/INDEX(Valeurs!$B$2:$B$40,MATCH(E683,Valeurs!$A$2:$A$40,0))*INDEX(Valeurs!$E$2:$E$40,MATCH(E683,Valeurs!$A$2:$A$40,0))</f>
        <v>3.6</v>
      </c>
      <c r="J683" s="64" t="n">
        <v>2</v>
      </c>
    </row>
    <row r="684" customFormat="false" ht="15" hidden="false" customHeight="false" outlineLevel="0" collapsed="false">
      <c r="A684" s="70" t="n">
        <v>46311</v>
      </c>
      <c r="B684" s="64" t="s">
        <v>10</v>
      </c>
      <c r="C684" s="64" t="s">
        <v>11</v>
      </c>
      <c r="D684" s="64" t="s">
        <v>6</v>
      </c>
      <c r="E684" s="64" t="s">
        <v>22</v>
      </c>
      <c r="F684" s="71" t="n">
        <f aca="false">Menu!D378</f>
        <v>0</v>
      </c>
      <c r="G684" s="64" t="s">
        <v>15</v>
      </c>
      <c r="H684" s="66" t="n">
        <f aca="false">F684/INDEX(Valeurs!$B$2:$B$40,MATCH(E684,Valeurs!$A$2:$A$40,0))*INDEX(Valeurs!$D$2:$D$40,MATCH(E684,Valeurs!$A$2:$A$40,0))</f>
        <v>0</v>
      </c>
      <c r="I684" s="72" t="n">
        <f aca="false">F684/INDEX(Valeurs!$B$2:$B$40,MATCH(E684,Valeurs!$A$2:$A$40,0))*INDEX(Valeurs!$E$2:$E$40,MATCH(E684,Valeurs!$A$2:$A$40,0))</f>
        <v>0</v>
      </c>
      <c r="J684" s="64" t="n">
        <v>2</v>
      </c>
    </row>
    <row r="685" customFormat="false" ht="15" hidden="false" customHeight="false" outlineLevel="0" collapsed="false">
      <c r="A685" s="70" t="n">
        <v>46311</v>
      </c>
      <c r="B685" s="64" t="s">
        <v>10</v>
      </c>
      <c r="C685" s="64" t="s">
        <v>11</v>
      </c>
      <c r="D685" s="64" t="s">
        <v>7</v>
      </c>
      <c r="E685" s="64" t="s">
        <v>22</v>
      </c>
      <c r="F685" s="71" t="n">
        <f aca="false">Menu!E378</f>
        <v>150</v>
      </c>
      <c r="G685" s="64" t="s">
        <v>15</v>
      </c>
      <c r="H685" s="66" t="n">
        <f aca="false">F685/INDEX(Valeurs!$B$2:$B$40,MATCH(E685,Valeurs!$A$2:$A$40,0))*INDEX(Valeurs!$D$2:$D$40,MATCH(E685,Valeurs!$A$2:$A$40,0))</f>
        <v>78</v>
      </c>
      <c r="I685" s="72" t="n">
        <f aca="false">F685/INDEX(Valeurs!$B$2:$B$40,MATCH(E685,Valeurs!$A$2:$A$40,0))*INDEX(Valeurs!$E$2:$E$40,MATCH(E685,Valeurs!$A$2:$A$40,0))</f>
        <v>0.45</v>
      </c>
      <c r="J685" s="64" t="n">
        <v>2</v>
      </c>
    </row>
    <row r="686" customFormat="false" ht="15" hidden="false" customHeight="false" outlineLevel="0" collapsed="false">
      <c r="A686" s="70" t="n">
        <v>46311</v>
      </c>
      <c r="B686" s="64" t="s">
        <v>23</v>
      </c>
      <c r="C686" s="64" t="s">
        <v>41</v>
      </c>
      <c r="D686" s="64" t="s">
        <v>6</v>
      </c>
      <c r="E686" s="64" t="s">
        <v>25</v>
      </c>
      <c r="F686" s="71" t="n">
        <f aca="false">Menu!D379</f>
        <v>100</v>
      </c>
      <c r="G686" s="64" t="s">
        <v>15</v>
      </c>
      <c r="H686" s="66" t="n">
        <f aca="false">F686/INDEX(Valeurs!$B$2:$B$40,MATCH(E686,Valeurs!$A$2:$A$40,0))*INDEX(Valeurs!$D$2:$D$40,MATCH(E686,Valeurs!$A$2:$A$40,0))</f>
        <v>115</v>
      </c>
      <c r="I686" s="72" t="n">
        <f aca="false">F686/INDEX(Valeurs!$B$2:$B$40,MATCH(E686,Valeurs!$A$2:$A$40,0))*INDEX(Valeurs!$E$2:$E$40,MATCH(E686,Valeurs!$A$2:$A$40,0))</f>
        <v>23</v>
      </c>
      <c r="J686" s="64" t="n">
        <v>2</v>
      </c>
    </row>
    <row r="687" customFormat="false" ht="15" hidden="false" customHeight="false" outlineLevel="0" collapsed="false">
      <c r="A687" s="70" t="n">
        <v>46311</v>
      </c>
      <c r="B687" s="64" t="s">
        <v>23</v>
      </c>
      <c r="C687" s="64" t="s">
        <v>41</v>
      </c>
      <c r="D687" s="64" t="s">
        <v>7</v>
      </c>
      <c r="E687" s="64" t="s">
        <v>25</v>
      </c>
      <c r="F687" s="71" t="n">
        <f aca="false">Menu!E379</f>
        <v>80</v>
      </c>
      <c r="G687" s="64" t="s">
        <v>15</v>
      </c>
      <c r="H687" s="66" t="n">
        <f aca="false">F687/INDEX(Valeurs!$B$2:$B$40,MATCH(E687,Valeurs!$A$2:$A$40,0))*INDEX(Valeurs!$D$2:$D$40,MATCH(E687,Valeurs!$A$2:$A$40,0))</f>
        <v>92</v>
      </c>
      <c r="I687" s="72" t="n">
        <f aca="false">F687/INDEX(Valeurs!$B$2:$B$40,MATCH(E687,Valeurs!$A$2:$A$40,0))*INDEX(Valeurs!$E$2:$E$40,MATCH(E687,Valeurs!$A$2:$A$40,0))</f>
        <v>18.4</v>
      </c>
      <c r="J687" s="64" t="n">
        <v>2</v>
      </c>
    </row>
    <row r="688" customFormat="false" ht="15" hidden="false" customHeight="false" outlineLevel="0" collapsed="false">
      <c r="A688" s="70" t="n">
        <v>46311</v>
      </c>
      <c r="B688" s="64" t="s">
        <v>23</v>
      </c>
      <c r="C688" s="64" t="s">
        <v>41</v>
      </c>
      <c r="D688" s="64" t="s">
        <v>6</v>
      </c>
      <c r="E688" s="64" t="s">
        <v>42</v>
      </c>
      <c r="F688" s="71" t="n">
        <f aca="false">Menu!D380</f>
        <v>140</v>
      </c>
      <c r="G688" s="64" t="s">
        <v>15</v>
      </c>
      <c r="H688" s="66" t="n">
        <f aca="false">F688/INDEX(Valeurs!$B$2:$B$40,MATCH(E688,Valeurs!$A$2:$A$40,0))*INDEX(Valeurs!$D$2:$D$40,MATCH(E688,Valeurs!$A$2:$A$40,0))</f>
        <v>140</v>
      </c>
      <c r="I688" s="72" t="n">
        <f aca="false">F688/INDEX(Valeurs!$B$2:$B$40,MATCH(E688,Valeurs!$A$2:$A$40,0))*INDEX(Valeurs!$E$2:$E$40,MATCH(E688,Valeurs!$A$2:$A$40,0))</f>
        <v>10.5</v>
      </c>
      <c r="J688" s="64" t="n">
        <v>2</v>
      </c>
    </row>
    <row r="689" customFormat="false" ht="15" hidden="false" customHeight="false" outlineLevel="0" collapsed="false">
      <c r="A689" s="70" t="n">
        <v>46311</v>
      </c>
      <c r="B689" s="64" t="s">
        <v>23</v>
      </c>
      <c r="C689" s="64" t="s">
        <v>41</v>
      </c>
      <c r="D689" s="64" t="s">
        <v>7</v>
      </c>
      <c r="E689" s="64" t="s">
        <v>42</v>
      </c>
      <c r="F689" s="71" t="n">
        <f aca="false">Menu!E380</f>
        <v>120</v>
      </c>
      <c r="G689" s="64" t="s">
        <v>15</v>
      </c>
      <c r="H689" s="66" t="n">
        <f aca="false">F689/INDEX(Valeurs!$B$2:$B$40,MATCH(E689,Valeurs!$A$2:$A$40,0))*INDEX(Valeurs!$D$2:$D$40,MATCH(E689,Valeurs!$A$2:$A$40,0))</f>
        <v>120</v>
      </c>
      <c r="I689" s="72" t="n">
        <f aca="false">F689/INDEX(Valeurs!$B$2:$B$40,MATCH(E689,Valeurs!$A$2:$A$40,0))*INDEX(Valeurs!$E$2:$E$40,MATCH(E689,Valeurs!$A$2:$A$40,0))</f>
        <v>9</v>
      </c>
      <c r="J689" s="64" t="n">
        <v>2</v>
      </c>
    </row>
    <row r="690" customFormat="false" ht="15" hidden="false" customHeight="false" outlineLevel="0" collapsed="false">
      <c r="A690" s="70" t="n">
        <v>46311</v>
      </c>
      <c r="B690" s="64" t="s">
        <v>23</v>
      </c>
      <c r="C690" s="64" t="s">
        <v>41</v>
      </c>
      <c r="D690" s="64" t="s">
        <v>6</v>
      </c>
      <c r="E690" s="64" t="s">
        <v>43</v>
      </c>
      <c r="F690" s="71" t="n">
        <f aca="false">Menu!D381</f>
        <v>50</v>
      </c>
      <c r="G690" s="64" t="s">
        <v>15</v>
      </c>
      <c r="H690" s="66" t="n">
        <f aca="false">F690/INDEX(Valeurs!$B$2:$B$40,MATCH(E690,Valeurs!$A$2:$A$40,0))*INDEX(Valeurs!$D$2:$D$40,MATCH(E690,Valeurs!$A$2:$A$40,0))</f>
        <v>177.5</v>
      </c>
      <c r="I690" s="72" t="n">
        <f aca="false">F690/INDEX(Valeurs!$B$2:$B$40,MATCH(E690,Valeurs!$A$2:$A$40,0))*INDEX(Valeurs!$E$2:$E$40,MATCH(E690,Valeurs!$A$2:$A$40,0))</f>
        <v>3.5</v>
      </c>
      <c r="J690" s="64" t="n">
        <v>2</v>
      </c>
    </row>
    <row r="691" customFormat="false" ht="15" hidden="false" customHeight="false" outlineLevel="0" collapsed="false">
      <c r="A691" s="70" t="n">
        <v>46311</v>
      </c>
      <c r="B691" s="64" t="s">
        <v>23</v>
      </c>
      <c r="C691" s="64" t="s">
        <v>41</v>
      </c>
      <c r="D691" s="64" t="s">
        <v>7</v>
      </c>
      <c r="E691" s="64" t="s">
        <v>43</v>
      </c>
      <c r="F691" s="71" t="n">
        <f aca="false">Menu!E381</f>
        <v>20</v>
      </c>
      <c r="G691" s="64" t="s">
        <v>15</v>
      </c>
      <c r="H691" s="66" t="n">
        <f aca="false">F691/INDEX(Valeurs!$B$2:$B$40,MATCH(E691,Valeurs!$A$2:$A$40,0))*INDEX(Valeurs!$D$2:$D$40,MATCH(E691,Valeurs!$A$2:$A$40,0))</f>
        <v>71</v>
      </c>
      <c r="I691" s="72" t="n">
        <f aca="false">F691/INDEX(Valeurs!$B$2:$B$40,MATCH(E691,Valeurs!$A$2:$A$40,0))*INDEX(Valeurs!$E$2:$E$40,MATCH(E691,Valeurs!$A$2:$A$40,0))</f>
        <v>1.4</v>
      </c>
      <c r="J691" s="64" t="n">
        <v>2</v>
      </c>
    </row>
    <row r="692" customFormat="false" ht="15" hidden="false" customHeight="false" outlineLevel="0" collapsed="false">
      <c r="A692" s="70" t="n">
        <v>46311</v>
      </c>
      <c r="B692" s="64" t="s">
        <v>23</v>
      </c>
      <c r="C692" s="64" t="s">
        <v>41</v>
      </c>
      <c r="D692" s="64" t="s">
        <v>6</v>
      </c>
      <c r="E692" s="64" t="s">
        <v>20</v>
      </c>
      <c r="F692" s="71" t="n">
        <f aca="false">Menu!D382</f>
        <v>120</v>
      </c>
      <c r="G692" s="64" t="s">
        <v>15</v>
      </c>
      <c r="H692" s="66" t="n">
        <f aca="false">F692/INDEX(Valeurs!$B$2:$B$40,MATCH(E692,Valeurs!$A$2:$A$40,0))*INDEX(Valeurs!$D$2:$D$40,MATCH(E692,Valeurs!$A$2:$A$40,0))</f>
        <v>21.6</v>
      </c>
      <c r="I692" s="72" t="n">
        <f aca="false">F692/INDEX(Valeurs!$B$2:$B$40,MATCH(E692,Valeurs!$A$2:$A$40,0))*INDEX(Valeurs!$E$2:$E$40,MATCH(E692,Valeurs!$A$2:$A$40,0))</f>
        <v>1.08</v>
      </c>
      <c r="J692" s="64" t="n">
        <v>2</v>
      </c>
    </row>
    <row r="693" customFormat="false" ht="15" hidden="false" customHeight="false" outlineLevel="0" collapsed="false">
      <c r="A693" s="70" t="n">
        <v>46311</v>
      </c>
      <c r="B693" s="64" t="s">
        <v>23</v>
      </c>
      <c r="C693" s="64" t="s">
        <v>41</v>
      </c>
      <c r="D693" s="64" t="s">
        <v>7</v>
      </c>
      <c r="E693" s="64" t="s">
        <v>20</v>
      </c>
      <c r="F693" s="71" t="n">
        <f aca="false">Menu!E382</f>
        <v>150</v>
      </c>
      <c r="G693" s="64" t="s">
        <v>15</v>
      </c>
      <c r="H693" s="66" t="n">
        <f aca="false">F693/INDEX(Valeurs!$B$2:$B$40,MATCH(E693,Valeurs!$A$2:$A$40,0))*INDEX(Valeurs!$D$2:$D$40,MATCH(E693,Valeurs!$A$2:$A$40,0))</f>
        <v>27</v>
      </c>
      <c r="I693" s="72" t="n">
        <f aca="false">F693/INDEX(Valeurs!$B$2:$B$40,MATCH(E693,Valeurs!$A$2:$A$40,0))*INDEX(Valeurs!$E$2:$E$40,MATCH(E693,Valeurs!$A$2:$A$40,0))</f>
        <v>1.35</v>
      </c>
      <c r="J693" s="64" t="n">
        <v>2</v>
      </c>
    </row>
    <row r="694" customFormat="false" ht="15" hidden="false" customHeight="false" outlineLevel="0" collapsed="false">
      <c r="A694" s="70" t="n">
        <v>46311</v>
      </c>
      <c r="B694" s="64" t="s">
        <v>23</v>
      </c>
      <c r="C694" s="64" t="s">
        <v>41</v>
      </c>
      <c r="D694" s="64" t="s">
        <v>6</v>
      </c>
      <c r="E694" s="64" t="s">
        <v>35</v>
      </c>
      <c r="F694" s="71" t="n">
        <f aca="false">Menu!D383</f>
        <v>40</v>
      </c>
      <c r="G694" s="64" t="s">
        <v>15</v>
      </c>
      <c r="H694" s="66" t="n">
        <f aca="false">F694/INDEX(Valeurs!$B$2:$B$40,MATCH(E694,Valeurs!$A$2:$A$40,0))*INDEX(Valeurs!$D$2:$D$40,MATCH(E694,Valeurs!$A$2:$A$40,0))</f>
        <v>16</v>
      </c>
      <c r="I694" s="72" t="n">
        <f aca="false">F694/INDEX(Valeurs!$B$2:$B$40,MATCH(E694,Valeurs!$A$2:$A$40,0))*INDEX(Valeurs!$E$2:$E$40,MATCH(E694,Valeurs!$A$2:$A$40,0))</f>
        <v>0.44</v>
      </c>
      <c r="J694" s="64" t="n">
        <v>2</v>
      </c>
    </row>
    <row r="695" customFormat="false" ht="15" hidden="false" customHeight="false" outlineLevel="0" collapsed="false">
      <c r="A695" s="70" t="n">
        <v>46311</v>
      </c>
      <c r="B695" s="64" t="s">
        <v>23</v>
      </c>
      <c r="C695" s="64" t="s">
        <v>41</v>
      </c>
      <c r="D695" s="64" t="s">
        <v>7</v>
      </c>
      <c r="E695" s="64" t="s">
        <v>35</v>
      </c>
      <c r="F695" s="71" t="n">
        <f aca="false">Menu!E383</f>
        <v>40</v>
      </c>
      <c r="G695" s="64" t="s">
        <v>15</v>
      </c>
      <c r="H695" s="66" t="n">
        <f aca="false">F695/INDEX(Valeurs!$B$2:$B$40,MATCH(E695,Valeurs!$A$2:$A$40,0))*INDEX(Valeurs!$D$2:$D$40,MATCH(E695,Valeurs!$A$2:$A$40,0))</f>
        <v>16</v>
      </c>
      <c r="I695" s="72" t="n">
        <f aca="false">F695/INDEX(Valeurs!$B$2:$B$40,MATCH(E695,Valeurs!$A$2:$A$40,0))*INDEX(Valeurs!$E$2:$E$40,MATCH(E695,Valeurs!$A$2:$A$40,0))</f>
        <v>0.44</v>
      </c>
      <c r="J695" s="64" t="n">
        <v>2</v>
      </c>
    </row>
    <row r="696" customFormat="false" ht="15" hidden="false" customHeight="false" outlineLevel="0" collapsed="false">
      <c r="A696" s="70" t="n">
        <v>46311</v>
      </c>
      <c r="B696" s="64" t="s">
        <v>23</v>
      </c>
      <c r="C696" s="64" t="s">
        <v>41</v>
      </c>
      <c r="D696" s="64" t="s">
        <v>6</v>
      </c>
      <c r="E696" s="64" t="s">
        <v>44</v>
      </c>
      <c r="F696" s="71" t="n">
        <f aca="false">Menu!D384</f>
        <v>80</v>
      </c>
      <c r="G696" s="64" t="s">
        <v>15</v>
      </c>
      <c r="H696" s="66" t="n">
        <f aca="false">F696/INDEX(Valeurs!$B$2:$B$40,MATCH(E696,Valeurs!$A$2:$A$40,0))*INDEX(Valeurs!$D$2:$D$40,MATCH(E696,Valeurs!$A$2:$A$40,0))</f>
        <v>32.8</v>
      </c>
      <c r="I696" s="72" t="n">
        <f aca="false">F696/INDEX(Valeurs!$B$2:$B$40,MATCH(E696,Valeurs!$A$2:$A$40,0))*INDEX(Valeurs!$E$2:$E$40,MATCH(E696,Valeurs!$A$2:$A$40,0))</f>
        <v>0.72</v>
      </c>
      <c r="J696" s="64" t="n">
        <v>2</v>
      </c>
    </row>
    <row r="697" customFormat="false" ht="15" hidden="false" customHeight="false" outlineLevel="0" collapsed="false">
      <c r="A697" s="70" t="n">
        <v>46311</v>
      </c>
      <c r="B697" s="64" t="s">
        <v>23</v>
      </c>
      <c r="C697" s="64" t="s">
        <v>41</v>
      </c>
      <c r="D697" s="64" t="s">
        <v>7</v>
      </c>
      <c r="E697" s="64" t="s">
        <v>44</v>
      </c>
      <c r="F697" s="71" t="n">
        <f aca="false">Menu!E384</f>
        <v>100</v>
      </c>
      <c r="G697" s="64" t="s">
        <v>15</v>
      </c>
      <c r="H697" s="66" t="n">
        <f aca="false">F697/INDEX(Valeurs!$B$2:$B$40,MATCH(E697,Valeurs!$A$2:$A$40,0))*INDEX(Valeurs!$D$2:$D$40,MATCH(E697,Valeurs!$A$2:$A$40,0))</f>
        <v>41</v>
      </c>
      <c r="I697" s="72" t="n">
        <f aca="false">F697/INDEX(Valeurs!$B$2:$B$40,MATCH(E697,Valeurs!$A$2:$A$40,0))*INDEX(Valeurs!$E$2:$E$40,MATCH(E697,Valeurs!$A$2:$A$40,0))</f>
        <v>0.9</v>
      </c>
      <c r="J697" s="64" t="n">
        <v>2</v>
      </c>
    </row>
    <row r="698" customFormat="false" ht="15" hidden="false" customHeight="false" outlineLevel="0" collapsed="false">
      <c r="A698" s="70" t="n">
        <v>46311</v>
      </c>
      <c r="B698" s="64" t="s">
        <v>23</v>
      </c>
      <c r="C698" s="64" t="s">
        <v>41</v>
      </c>
      <c r="D698" s="64" t="s">
        <v>6</v>
      </c>
      <c r="E698" s="64" t="s">
        <v>28</v>
      </c>
      <c r="F698" s="71" t="n">
        <f aca="false">Menu!D385</f>
        <v>10</v>
      </c>
      <c r="G698" s="64" t="s">
        <v>15</v>
      </c>
      <c r="H698" s="66" t="n">
        <f aca="false">F698/INDEX(Valeurs!$B$2:$B$40,MATCH(E698,Valeurs!$A$2:$A$40,0))*INDEX(Valeurs!$D$2:$D$40,MATCH(E698,Valeurs!$A$2:$A$40,0))</f>
        <v>90</v>
      </c>
      <c r="I698" s="72" t="n">
        <f aca="false">F698/INDEX(Valeurs!$B$2:$B$40,MATCH(E698,Valeurs!$A$2:$A$40,0))*INDEX(Valeurs!$E$2:$E$40,MATCH(E698,Valeurs!$A$2:$A$40,0))</f>
        <v>0</v>
      </c>
      <c r="J698" s="64" t="n">
        <v>2</v>
      </c>
    </row>
    <row r="699" customFormat="false" ht="15" hidden="false" customHeight="false" outlineLevel="0" collapsed="false">
      <c r="A699" s="70" t="n">
        <v>46311</v>
      </c>
      <c r="B699" s="64" t="s">
        <v>23</v>
      </c>
      <c r="C699" s="64" t="s">
        <v>41</v>
      </c>
      <c r="D699" s="64" t="s">
        <v>7</v>
      </c>
      <c r="E699" s="64" t="s">
        <v>28</v>
      </c>
      <c r="F699" s="71" t="n">
        <f aca="false">Menu!E385</f>
        <v>7</v>
      </c>
      <c r="G699" s="64" t="s">
        <v>15</v>
      </c>
      <c r="H699" s="66" t="n">
        <f aca="false">F699/INDEX(Valeurs!$B$2:$B$40,MATCH(E699,Valeurs!$A$2:$A$40,0))*INDEX(Valeurs!$D$2:$D$40,MATCH(E699,Valeurs!$A$2:$A$40,0))</f>
        <v>63</v>
      </c>
      <c r="I699" s="72" t="n">
        <f aca="false">F699/INDEX(Valeurs!$B$2:$B$40,MATCH(E699,Valeurs!$A$2:$A$40,0))*INDEX(Valeurs!$E$2:$E$40,MATCH(E699,Valeurs!$A$2:$A$40,0))</f>
        <v>0</v>
      </c>
      <c r="J699" s="64" t="n">
        <v>2</v>
      </c>
    </row>
    <row r="700" customFormat="false" ht="15" hidden="false" customHeight="false" outlineLevel="0" collapsed="false">
      <c r="A700" s="70" t="n">
        <v>46311</v>
      </c>
      <c r="B700" s="64" t="s">
        <v>29</v>
      </c>
      <c r="C700" s="64" t="s">
        <v>102</v>
      </c>
      <c r="D700" s="64" t="s">
        <v>6</v>
      </c>
      <c r="E700" s="64" t="s">
        <v>66</v>
      </c>
      <c r="F700" s="71" t="n">
        <f aca="false">Menu!D386</f>
        <v>105</v>
      </c>
      <c r="G700" s="64" t="s">
        <v>15</v>
      </c>
      <c r="H700" s="66" t="n">
        <f aca="false">F700/INDEX(Valeurs!$B$2:$B$40,MATCH(E700,Valeurs!$A$2:$A$40,0))*INDEX(Valeurs!$D$2:$D$40,MATCH(E700,Valeurs!$A$2:$A$40,0))</f>
        <v>372.75</v>
      </c>
      <c r="I700" s="72" t="n">
        <f aca="false">F700/INDEX(Valeurs!$B$2:$B$40,MATCH(E700,Valeurs!$A$2:$A$40,0))*INDEX(Valeurs!$E$2:$E$40,MATCH(E700,Valeurs!$A$2:$A$40,0))</f>
        <v>13.125</v>
      </c>
      <c r="J700" s="64" t="n">
        <v>2</v>
      </c>
    </row>
    <row r="701" customFormat="false" ht="15" hidden="false" customHeight="false" outlineLevel="0" collapsed="false">
      <c r="A701" s="70" t="n">
        <v>46311</v>
      </c>
      <c r="B701" s="64" t="s">
        <v>29</v>
      </c>
      <c r="C701" s="64" t="s">
        <v>102</v>
      </c>
      <c r="D701" s="64" t="s">
        <v>7</v>
      </c>
      <c r="E701" s="64" t="s">
        <v>66</v>
      </c>
      <c r="F701" s="71" t="n">
        <f aca="false">Menu!E386</f>
        <v>60</v>
      </c>
      <c r="G701" s="64" t="s">
        <v>15</v>
      </c>
      <c r="H701" s="66" t="n">
        <f aca="false">F701/INDEX(Valeurs!$B$2:$B$40,MATCH(E701,Valeurs!$A$2:$A$40,0))*INDEX(Valeurs!$D$2:$D$40,MATCH(E701,Valeurs!$A$2:$A$40,0))</f>
        <v>213</v>
      </c>
      <c r="I701" s="72" t="n">
        <f aca="false">F701/INDEX(Valeurs!$B$2:$B$40,MATCH(E701,Valeurs!$A$2:$A$40,0))*INDEX(Valeurs!$E$2:$E$40,MATCH(E701,Valeurs!$A$2:$A$40,0))</f>
        <v>7.5</v>
      </c>
      <c r="J701" s="64" t="n">
        <v>2</v>
      </c>
    </row>
    <row r="702" customFormat="false" ht="15" hidden="false" customHeight="false" outlineLevel="0" collapsed="false">
      <c r="A702" s="70" t="n">
        <v>46311</v>
      </c>
      <c r="B702" s="64" t="s">
        <v>29</v>
      </c>
      <c r="C702" s="64" t="s">
        <v>102</v>
      </c>
      <c r="D702" s="64" t="s">
        <v>6</v>
      </c>
      <c r="E702" s="64" t="s">
        <v>80</v>
      </c>
      <c r="F702" s="71" t="n">
        <f aca="false">Menu!D387</f>
        <v>60</v>
      </c>
      <c r="G702" s="64" t="s">
        <v>15</v>
      </c>
      <c r="H702" s="66" t="n">
        <f aca="false">F702/INDEX(Valeurs!$B$2:$B$40,MATCH(E702,Valeurs!$A$2:$A$40,0))*INDEX(Valeurs!$D$2:$D$40,MATCH(E702,Valeurs!$A$2:$A$40,0))</f>
        <v>162</v>
      </c>
      <c r="I702" s="72" t="n">
        <f aca="false">F702/INDEX(Valeurs!$B$2:$B$40,MATCH(E702,Valeurs!$A$2:$A$40,0))*INDEX(Valeurs!$E$2:$E$40,MATCH(E702,Valeurs!$A$2:$A$40,0))</f>
        <v>9</v>
      </c>
      <c r="J702" s="64" t="n">
        <v>2</v>
      </c>
    </row>
    <row r="703" customFormat="false" ht="15" hidden="false" customHeight="false" outlineLevel="0" collapsed="false">
      <c r="A703" s="70" t="n">
        <v>46311</v>
      </c>
      <c r="B703" s="64" t="s">
        <v>29</v>
      </c>
      <c r="C703" s="64" t="s">
        <v>102</v>
      </c>
      <c r="D703" s="64" t="s">
        <v>7</v>
      </c>
      <c r="E703" s="64" t="s">
        <v>80</v>
      </c>
      <c r="F703" s="71" t="n">
        <f aca="false">Menu!E387</f>
        <v>40</v>
      </c>
      <c r="G703" s="64" t="s">
        <v>15</v>
      </c>
      <c r="H703" s="66" t="n">
        <f aca="false">F703/INDEX(Valeurs!$B$2:$B$40,MATCH(E703,Valeurs!$A$2:$A$40,0))*INDEX(Valeurs!$D$2:$D$40,MATCH(E703,Valeurs!$A$2:$A$40,0))</f>
        <v>108</v>
      </c>
      <c r="I703" s="72" t="n">
        <f aca="false">F703/INDEX(Valeurs!$B$2:$B$40,MATCH(E703,Valeurs!$A$2:$A$40,0))*INDEX(Valeurs!$E$2:$E$40,MATCH(E703,Valeurs!$A$2:$A$40,0))</f>
        <v>6</v>
      </c>
      <c r="J703" s="64" t="n">
        <v>2</v>
      </c>
    </row>
    <row r="704" customFormat="false" ht="15" hidden="false" customHeight="false" outlineLevel="0" collapsed="false">
      <c r="A704" s="70" t="n">
        <v>46311</v>
      </c>
      <c r="B704" s="64" t="s">
        <v>29</v>
      </c>
      <c r="C704" s="64" t="s">
        <v>102</v>
      </c>
      <c r="D704" s="64" t="s">
        <v>6</v>
      </c>
      <c r="E704" s="64" t="s">
        <v>19</v>
      </c>
      <c r="F704" s="71" t="n">
        <f aca="false">Menu!D388</f>
        <v>40</v>
      </c>
      <c r="G704" s="64" t="s">
        <v>15</v>
      </c>
      <c r="H704" s="66" t="n">
        <f aca="false">F704/INDEX(Valeurs!$B$2:$B$40,MATCH(E704,Valeurs!$A$2:$A$40,0))*INDEX(Valeurs!$D$2:$D$40,MATCH(E704,Valeurs!$A$2:$A$40,0))</f>
        <v>44</v>
      </c>
      <c r="I704" s="72" t="n">
        <f aca="false">F704/INDEX(Valeurs!$B$2:$B$40,MATCH(E704,Valeurs!$A$2:$A$40,0))*INDEX(Valeurs!$E$2:$E$40,MATCH(E704,Valeurs!$A$2:$A$40,0))</f>
        <v>8</v>
      </c>
      <c r="J704" s="64" t="n">
        <v>2</v>
      </c>
    </row>
    <row r="705" customFormat="false" ht="15" hidden="false" customHeight="false" outlineLevel="0" collapsed="false">
      <c r="A705" s="70" t="n">
        <v>46311</v>
      </c>
      <c r="B705" s="64" t="s">
        <v>29</v>
      </c>
      <c r="C705" s="64" t="s">
        <v>102</v>
      </c>
      <c r="D705" s="64" t="s">
        <v>7</v>
      </c>
      <c r="E705" s="64" t="s">
        <v>19</v>
      </c>
      <c r="F705" s="71" t="n">
        <f aca="false">Menu!E388</f>
        <v>30</v>
      </c>
      <c r="G705" s="64" t="s">
        <v>15</v>
      </c>
      <c r="H705" s="66" t="n">
        <f aca="false">F705/INDEX(Valeurs!$B$2:$B$40,MATCH(E705,Valeurs!$A$2:$A$40,0))*INDEX(Valeurs!$D$2:$D$40,MATCH(E705,Valeurs!$A$2:$A$40,0))</f>
        <v>33</v>
      </c>
      <c r="I705" s="72" t="n">
        <f aca="false">F705/INDEX(Valeurs!$B$2:$B$40,MATCH(E705,Valeurs!$A$2:$A$40,0))*INDEX(Valeurs!$E$2:$E$40,MATCH(E705,Valeurs!$A$2:$A$40,0))</f>
        <v>6</v>
      </c>
      <c r="J705" s="64" t="n">
        <v>2</v>
      </c>
    </row>
    <row r="706" customFormat="false" ht="15" hidden="false" customHeight="false" outlineLevel="0" collapsed="false">
      <c r="A706" s="70" t="n">
        <v>46311</v>
      </c>
      <c r="B706" s="64" t="s">
        <v>29</v>
      </c>
      <c r="C706" s="64" t="s">
        <v>102</v>
      </c>
      <c r="D706" s="64" t="s">
        <v>6</v>
      </c>
      <c r="E706" s="64" t="s">
        <v>17</v>
      </c>
      <c r="F706" s="71" t="n">
        <f aca="false">Menu!D389</f>
        <v>1</v>
      </c>
      <c r="G706" s="64" t="s">
        <v>171</v>
      </c>
      <c r="H706" s="66" t="n">
        <f aca="false">F706/INDEX(Valeurs!$B$2:$B$40,MATCH(E706,Valeurs!$A$2:$A$40,0))*INDEX(Valeurs!$D$2:$D$40,MATCH(E706,Valeurs!$A$2:$A$40,0))</f>
        <v>87</v>
      </c>
      <c r="I706" s="72" t="n">
        <f aca="false">F706/INDEX(Valeurs!$B$2:$B$40,MATCH(E706,Valeurs!$A$2:$A$40,0))*INDEX(Valeurs!$E$2:$E$40,MATCH(E706,Valeurs!$A$2:$A$40,0))</f>
        <v>7.5</v>
      </c>
      <c r="J706" s="64" t="n">
        <v>2</v>
      </c>
    </row>
    <row r="707" customFormat="false" ht="15" hidden="false" customHeight="false" outlineLevel="0" collapsed="false">
      <c r="A707" s="70" t="n">
        <v>46311</v>
      </c>
      <c r="B707" s="64" t="s">
        <v>29</v>
      </c>
      <c r="C707" s="64" t="s">
        <v>102</v>
      </c>
      <c r="D707" s="64" t="s">
        <v>7</v>
      </c>
      <c r="E707" s="64" t="s">
        <v>17</v>
      </c>
      <c r="F707" s="71" t="n">
        <f aca="false">Menu!E389</f>
        <v>1</v>
      </c>
      <c r="G707" s="64" t="s">
        <v>171</v>
      </c>
      <c r="H707" s="66" t="n">
        <f aca="false">F707/INDEX(Valeurs!$B$2:$B$40,MATCH(E707,Valeurs!$A$2:$A$40,0))*INDEX(Valeurs!$D$2:$D$40,MATCH(E707,Valeurs!$A$2:$A$40,0))</f>
        <v>87</v>
      </c>
      <c r="I707" s="72" t="n">
        <f aca="false">F707/INDEX(Valeurs!$B$2:$B$40,MATCH(E707,Valeurs!$A$2:$A$40,0))*INDEX(Valeurs!$E$2:$E$40,MATCH(E707,Valeurs!$A$2:$A$40,0))</f>
        <v>7.5</v>
      </c>
      <c r="J707" s="64" t="n">
        <v>2</v>
      </c>
    </row>
    <row r="708" customFormat="false" ht="15" hidden="false" customHeight="false" outlineLevel="0" collapsed="false">
      <c r="A708" s="70" t="n">
        <v>46311</v>
      </c>
      <c r="B708" s="64" t="s">
        <v>29</v>
      </c>
      <c r="C708" s="64" t="s">
        <v>102</v>
      </c>
      <c r="D708" s="64" t="s">
        <v>6</v>
      </c>
      <c r="E708" s="64" t="s">
        <v>67</v>
      </c>
      <c r="F708" s="71" t="n">
        <f aca="false">Menu!D390</f>
        <v>60</v>
      </c>
      <c r="G708" s="64" t="s">
        <v>15</v>
      </c>
      <c r="H708" s="66" t="n">
        <f aca="false">F708/INDEX(Valeurs!$B$2:$B$40,MATCH(E708,Valeurs!$A$2:$A$40,0))*INDEX(Valeurs!$D$2:$D$40,MATCH(E708,Valeurs!$A$2:$A$40,0))</f>
        <v>13.2</v>
      </c>
      <c r="I708" s="72" t="n">
        <f aca="false">F708/INDEX(Valeurs!$B$2:$B$40,MATCH(E708,Valeurs!$A$2:$A$40,0))*INDEX(Valeurs!$E$2:$E$40,MATCH(E708,Valeurs!$A$2:$A$40,0))</f>
        <v>1.86</v>
      </c>
      <c r="J708" s="64" t="n">
        <v>2</v>
      </c>
    </row>
    <row r="709" customFormat="false" ht="15" hidden="false" customHeight="false" outlineLevel="0" collapsed="false">
      <c r="A709" s="70" t="n">
        <v>46311</v>
      </c>
      <c r="B709" s="64" t="s">
        <v>29</v>
      </c>
      <c r="C709" s="64" t="s">
        <v>102</v>
      </c>
      <c r="D709" s="64" t="s">
        <v>7</v>
      </c>
      <c r="E709" s="64" t="s">
        <v>67</v>
      </c>
      <c r="F709" s="71" t="n">
        <f aca="false">Menu!E390</f>
        <v>60</v>
      </c>
      <c r="G709" s="64" t="s">
        <v>15</v>
      </c>
      <c r="H709" s="66" t="n">
        <f aca="false">F709/INDEX(Valeurs!$B$2:$B$40,MATCH(E709,Valeurs!$A$2:$A$40,0))*INDEX(Valeurs!$D$2:$D$40,MATCH(E709,Valeurs!$A$2:$A$40,0))</f>
        <v>13.2</v>
      </c>
      <c r="I709" s="72" t="n">
        <f aca="false">F709/INDEX(Valeurs!$B$2:$B$40,MATCH(E709,Valeurs!$A$2:$A$40,0))*INDEX(Valeurs!$E$2:$E$40,MATCH(E709,Valeurs!$A$2:$A$40,0))</f>
        <v>1.86</v>
      </c>
      <c r="J709" s="64" t="n">
        <v>2</v>
      </c>
    </row>
    <row r="710" customFormat="false" ht="15" hidden="false" customHeight="false" outlineLevel="0" collapsed="false">
      <c r="A710" s="70" t="n">
        <v>46311</v>
      </c>
      <c r="B710" s="64" t="s">
        <v>29</v>
      </c>
      <c r="C710" s="64" t="s">
        <v>102</v>
      </c>
      <c r="D710" s="64" t="s">
        <v>6</v>
      </c>
      <c r="E710" s="64" t="s">
        <v>33</v>
      </c>
      <c r="F710" s="71" t="n">
        <f aca="false">Menu!D391</f>
        <v>120</v>
      </c>
      <c r="G710" s="64" t="s">
        <v>15</v>
      </c>
      <c r="H710" s="66" t="n">
        <f aca="false">F710/INDEX(Valeurs!$B$2:$B$40,MATCH(E710,Valeurs!$A$2:$A$40,0))*INDEX(Valeurs!$D$2:$D$40,MATCH(E710,Valeurs!$A$2:$A$40,0))</f>
        <v>20.4</v>
      </c>
      <c r="I710" s="72" t="n">
        <f aca="false">F710/INDEX(Valeurs!$B$2:$B$40,MATCH(E710,Valeurs!$A$2:$A$40,0))*INDEX(Valeurs!$E$2:$E$40,MATCH(E710,Valeurs!$A$2:$A$40,0))</f>
        <v>1.44</v>
      </c>
      <c r="J710" s="64" t="n">
        <v>2</v>
      </c>
    </row>
    <row r="711" customFormat="false" ht="15" hidden="false" customHeight="false" outlineLevel="0" collapsed="false">
      <c r="A711" s="70" t="n">
        <v>46311</v>
      </c>
      <c r="B711" s="64" t="s">
        <v>29</v>
      </c>
      <c r="C711" s="64" t="s">
        <v>102</v>
      </c>
      <c r="D711" s="64" t="s">
        <v>7</v>
      </c>
      <c r="E711" s="64" t="s">
        <v>33</v>
      </c>
      <c r="F711" s="71" t="n">
        <f aca="false">Menu!E391</f>
        <v>150</v>
      </c>
      <c r="G711" s="64" t="s">
        <v>15</v>
      </c>
      <c r="H711" s="66" t="n">
        <f aca="false">F711/INDEX(Valeurs!$B$2:$B$40,MATCH(E711,Valeurs!$A$2:$A$40,0))*INDEX(Valeurs!$D$2:$D$40,MATCH(E711,Valeurs!$A$2:$A$40,0))</f>
        <v>25.5</v>
      </c>
      <c r="I711" s="72" t="n">
        <f aca="false">F711/INDEX(Valeurs!$B$2:$B$40,MATCH(E711,Valeurs!$A$2:$A$40,0))*INDEX(Valeurs!$E$2:$E$40,MATCH(E711,Valeurs!$A$2:$A$40,0))</f>
        <v>1.8</v>
      </c>
      <c r="J711" s="64" t="n">
        <v>2</v>
      </c>
    </row>
    <row r="712" customFormat="false" ht="15" hidden="false" customHeight="false" outlineLevel="0" collapsed="false">
      <c r="A712" s="70" t="n">
        <v>46311</v>
      </c>
      <c r="B712" s="64" t="s">
        <v>29</v>
      </c>
      <c r="C712" s="64" t="s">
        <v>102</v>
      </c>
      <c r="D712" s="64" t="s">
        <v>6</v>
      </c>
      <c r="E712" s="64" t="s">
        <v>28</v>
      </c>
      <c r="F712" s="71" t="n">
        <f aca="false">Menu!D392</f>
        <v>5</v>
      </c>
      <c r="G712" s="64" t="s">
        <v>15</v>
      </c>
      <c r="H712" s="66" t="n">
        <f aca="false">F712/INDEX(Valeurs!$B$2:$B$40,MATCH(E712,Valeurs!$A$2:$A$40,0))*INDEX(Valeurs!$D$2:$D$40,MATCH(E712,Valeurs!$A$2:$A$40,0))</f>
        <v>45</v>
      </c>
      <c r="I712" s="72" t="n">
        <f aca="false">F712/INDEX(Valeurs!$B$2:$B$40,MATCH(E712,Valeurs!$A$2:$A$40,0))*INDEX(Valeurs!$E$2:$E$40,MATCH(E712,Valeurs!$A$2:$A$40,0))</f>
        <v>0</v>
      </c>
      <c r="J712" s="64" t="n">
        <v>2</v>
      </c>
    </row>
    <row r="713" customFormat="false" ht="15" hidden="false" customHeight="false" outlineLevel="0" collapsed="false">
      <c r="A713" s="70" t="n">
        <v>46311</v>
      </c>
      <c r="B713" s="64" t="s">
        <v>29</v>
      </c>
      <c r="C713" s="64" t="s">
        <v>102</v>
      </c>
      <c r="D713" s="64" t="s">
        <v>7</v>
      </c>
      <c r="E713" s="64" t="s">
        <v>28</v>
      </c>
      <c r="F713" s="71" t="n">
        <f aca="false">Menu!E392</f>
        <v>3</v>
      </c>
      <c r="G713" s="64" t="s">
        <v>15</v>
      </c>
      <c r="H713" s="66" t="n">
        <f aca="false">F713/INDEX(Valeurs!$B$2:$B$40,MATCH(E713,Valeurs!$A$2:$A$40,0))*INDEX(Valeurs!$D$2:$D$40,MATCH(E713,Valeurs!$A$2:$A$40,0))</f>
        <v>27</v>
      </c>
      <c r="I713" s="72" t="n">
        <f aca="false">F713/INDEX(Valeurs!$B$2:$B$40,MATCH(E713,Valeurs!$A$2:$A$40,0))*INDEX(Valeurs!$E$2:$E$40,MATCH(E713,Valeurs!$A$2:$A$40,0))</f>
        <v>0</v>
      </c>
      <c r="J713" s="64" t="n">
        <v>2</v>
      </c>
    </row>
    <row r="714" customFormat="false" ht="15" hidden="false" customHeight="false" outlineLevel="0" collapsed="false">
      <c r="A714" s="70" t="n">
        <v>46311</v>
      </c>
      <c r="B714" s="64" t="s">
        <v>36</v>
      </c>
      <c r="C714" s="64" t="s">
        <v>68</v>
      </c>
      <c r="D714" s="64" t="s">
        <v>6</v>
      </c>
      <c r="E714" s="64" t="s">
        <v>39</v>
      </c>
      <c r="F714" s="71" t="n">
        <f aca="false">Menu!D393</f>
        <v>15</v>
      </c>
      <c r="G714" s="64" t="s">
        <v>15</v>
      </c>
      <c r="H714" s="66" t="n">
        <f aca="false">F714/INDEX(Valeurs!$B$2:$B$40,MATCH(E714,Valeurs!$A$2:$A$40,0))*INDEX(Valeurs!$D$2:$D$40,MATCH(E714,Valeurs!$A$2:$A$40,0))</f>
        <v>87</v>
      </c>
      <c r="I714" s="72" t="n">
        <f aca="false">F714/INDEX(Valeurs!$B$2:$B$40,MATCH(E714,Valeurs!$A$2:$A$40,0))*INDEX(Valeurs!$E$2:$E$40,MATCH(E714,Valeurs!$A$2:$A$40,0))</f>
        <v>1.125</v>
      </c>
      <c r="J714" s="64" t="n">
        <v>2</v>
      </c>
    </row>
    <row r="715" customFormat="false" ht="15" hidden="false" customHeight="false" outlineLevel="0" collapsed="false">
      <c r="A715" s="70" t="n">
        <v>46311</v>
      </c>
      <c r="B715" s="64" t="s">
        <v>36</v>
      </c>
      <c r="C715" s="64" t="s">
        <v>68</v>
      </c>
      <c r="D715" s="64" t="s">
        <v>7</v>
      </c>
      <c r="E715" s="64" t="s">
        <v>39</v>
      </c>
      <c r="F715" s="71" t="n">
        <f aca="false">Menu!E393</f>
        <v>10</v>
      </c>
      <c r="G715" s="64" t="s">
        <v>15</v>
      </c>
      <c r="H715" s="66" t="n">
        <f aca="false">F715/INDEX(Valeurs!$B$2:$B$40,MATCH(E715,Valeurs!$A$2:$A$40,0))*INDEX(Valeurs!$D$2:$D$40,MATCH(E715,Valeurs!$A$2:$A$40,0))</f>
        <v>58</v>
      </c>
      <c r="I715" s="72" t="n">
        <f aca="false">F715/INDEX(Valeurs!$B$2:$B$40,MATCH(E715,Valeurs!$A$2:$A$40,0))*INDEX(Valeurs!$E$2:$E$40,MATCH(E715,Valeurs!$A$2:$A$40,0))</f>
        <v>0.75</v>
      </c>
      <c r="J715" s="64" t="n">
        <v>2</v>
      </c>
    </row>
    <row r="716" customFormat="false" ht="15" hidden="false" customHeight="false" outlineLevel="0" collapsed="false">
      <c r="A716" s="70" t="n">
        <v>46312</v>
      </c>
      <c r="B716" s="64" t="s">
        <v>10</v>
      </c>
      <c r="C716" s="64" t="s">
        <v>11</v>
      </c>
      <c r="D716" s="64" t="s">
        <v>6</v>
      </c>
      <c r="E716" s="64" t="s">
        <v>12</v>
      </c>
      <c r="F716" s="71" t="n">
        <f aca="false">Menu!D396</f>
        <v>250</v>
      </c>
      <c r="G716" s="64" t="s">
        <v>13</v>
      </c>
      <c r="H716" s="66" t="n">
        <f aca="false">F716/INDEX(Valeurs!$B$2:$B$40,MATCH(E716,Valeurs!$A$2:$A$40,0))*INDEX(Valeurs!$D$2:$D$40,MATCH(E716,Valeurs!$A$2:$A$40,0))</f>
        <v>115</v>
      </c>
      <c r="I716" s="72" t="n">
        <f aca="false">F716/INDEX(Valeurs!$B$2:$B$40,MATCH(E716,Valeurs!$A$2:$A$40,0))*INDEX(Valeurs!$E$2:$E$40,MATCH(E716,Valeurs!$A$2:$A$40,0))</f>
        <v>8.25</v>
      </c>
      <c r="J716" s="64" t="n">
        <v>2</v>
      </c>
    </row>
    <row r="717" customFormat="false" ht="15" hidden="false" customHeight="false" outlineLevel="0" collapsed="false">
      <c r="A717" s="70" t="n">
        <v>46312</v>
      </c>
      <c r="B717" s="64" t="s">
        <v>10</v>
      </c>
      <c r="C717" s="64" t="s">
        <v>11</v>
      </c>
      <c r="D717" s="64" t="s">
        <v>7</v>
      </c>
      <c r="E717" s="64" t="s">
        <v>12</v>
      </c>
      <c r="F717" s="71" t="n">
        <f aca="false">Menu!E396</f>
        <v>0</v>
      </c>
      <c r="G717" s="64" t="s">
        <v>13</v>
      </c>
      <c r="H717" s="66" t="n">
        <f aca="false">F717/INDEX(Valeurs!$B$2:$B$40,MATCH(E717,Valeurs!$A$2:$A$40,0))*INDEX(Valeurs!$D$2:$D$40,MATCH(E717,Valeurs!$A$2:$A$40,0))</f>
        <v>0</v>
      </c>
      <c r="I717" s="72" t="n">
        <f aca="false">F717/INDEX(Valeurs!$B$2:$B$40,MATCH(E717,Valeurs!$A$2:$A$40,0))*INDEX(Valeurs!$E$2:$E$40,MATCH(E717,Valeurs!$A$2:$A$40,0))</f>
        <v>0</v>
      </c>
      <c r="J717" s="64" t="n">
        <v>2</v>
      </c>
    </row>
    <row r="718" customFormat="false" ht="15" hidden="false" customHeight="false" outlineLevel="0" collapsed="false">
      <c r="A718" s="70" t="n">
        <v>46312</v>
      </c>
      <c r="B718" s="64" t="s">
        <v>10</v>
      </c>
      <c r="C718" s="64" t="s">
        <v>11</v>
      </c>
      <c r="D718" s="64" t="s">
        <v>6</v>
      </c>
      <c r="E718" s="64" t="s">
        <v>14</v>
      </c>
      <c r="F718" s="71" t="n">
        <f aca="false">Menu!D397</f>
        <v>100</v>
      </c>
      <c r="G718" s="64" t="s">
        <v>15</v>
      </c>
      <c r="H718" s="66" t="n">
        <f aca="false">F718/INDEX(Valeurs!$B$2:$B$40,MATCH(E718,Valeurs!$A$2:$A$40,0))*INDEX(Valeurs!$D$2:$D$40,MATCH(E718,Valeurs!$A$2:$A$40,0))</f>
        <v>90</v>
      </c>
      <c r="I718" s="72" t="n">
        <f aca="false">F718/INDEX(Valeurs!$B$2:$B$40,MATCH(E718,Valeurs!$A$2:$A$40,0))*INDEX(Valeurs!$E$2:$E$40,MATCH(E718,Valeurs!$A$2:$A$40,0))</f>
        <v>1.1</v>
      </c>
      <c r="J718" s="64" t="n">
        <v>2</v>
      </c>
    </row>
    <row r="719" customFormat="false" ht="15" hidden="false" customHeight="false" outlineLevel="0" collapsed="false">
      <c r="A719" s="70" t="n">
        <v>46312</v>
      </c>
      <c r="B719" s="64" t="s">
        <v>10</v>
      </c>
      <c r="C719" s="64" t="s">
        <v>11</v>
      </c>
      <c r="D719" s="64" t="s">
        <v>7</v>
      </c>
      <c r="E719" s="64" t="s">
        <v>14</v>
      </c>
      <c r="F719" s="71" t="n">
        <f aca="false">Menu!E397</f>
        <v>0</v>
      </c>
      <c r="G719" s="64" t="s">
        <v>15</v>
      </c>
      <c r="H719" s="66" t="n">
        <f aca="false">F719/INDEX(Valeurs!$B$2:$B$40,MATCH(E719,Valeurs!$A$2:$A$40,0))*INDEX(Valeurs!$D$2:$D$40,MATCH(E719,Valeurs!$A$2:$A$40,0))</f>
        <v>0</v>
      </c>
      <c r="I719" s="72" t="n">
        <f aca="false">F719/INDEX(Valeurs!$B$2:$B$40,MATCH(E719,Valeurs!$A$2:$A$40,0))*INDEX(Valeurs!$E$2:$E$40,MATCH(E719,Valeurs!$A$2:$A$40,0))</f>
        <v>0</v>
      </c>
      <c r="J719" s="64" t="n">
        <v>2</v>
      </c>
    </row>
    <row r="720" customFormat="false" ht="15" hidden="false" customHeight="false" outlineLevel="0" collapsed="false">
      <c r="A720" s="70" t="n">
        <v>46312</v>
      </c>
      <c r="B720" s="64" t="s">
        <v>10</v>
      </c>
      <c r="C720" s="64" t="s">
        <v>11</v>
      </c>
      <c r="D720" s="64" t="s">
        <v>6</v>
      </c>
      <c r="E720" s="64" t="s">
        <v>16</v>
      </c>
      <c r="F720" s="71" t="n">
        <f aca="false">Menu!D398</f>
        <v>65</v>
      </c>
      <c r="G720" s="64" t="s">
        <v>15</v>
      </c>
      <c r="H720" s="66" t="n">
        <f aca="false">F720/INDEX(Valeurs!$B$2:$B$40,MATCH(E720,Valeurs!$A$2:$A$40,0))*INDEX(Valeurs!$D$2:$D$40,MATCH(E720,Valeurs!$A$2:$A$40,0))</f>
        <v>241.8</v>
      </c>
      <c r="I720" s="72" t="n">
        <f aca="false">F720/INDEX(Valeurs!$B$2:$B$40,MATCH(E720,Valeurs!$A$2:$A$40,0))*INDEX(Valeurs!$E$2:$E$40,MATCH(E720,Valeurs!$A$2:$A$40,0))</f>
        <v>8.775</v>
      </c>
      <c r="J720" s="64" t="n">
        <v>2</v>
      </c>
    </row>
    <row r="721" customFormat="false" ht="15" hidden="false" customHeight="false" outlineLevel="0" collapsed="false">
      <c r="A721" s="70" t="n">
        <v>46312</v>
      </c>
      <c r="B721" s="64" t="s">
        <v>10</v>
      </c>
      <c r="C721" s="64" t="s">
        <v>11</v>
      </c>
      <c r="D721" s="64" t="s">
        <v>7</v>
      </c>
      <c r="E721" s="64" t="s">
        <v>16</v>
      </c>
      <c r="F721" s="71" t="n">
        <f aca="false">Menu!E398</f>
        <v>0</v>
      </c>
      <c r="G721" s="64" t="s">
        <v>15</v>
      </c>
      <c r="H721" s="66" t="n">
        <f aca="false">F721/INDEX(Valeurs!$B$2:$B$40,MATCH(E721,Valeurs!$A$2:$A$40,0))*INDEX(Valeurs!$D$2:$D$40,MATCH(E721,Valeurs!$A$2:$A$40,0))</f>
        <v>0</v>
      </c>
      <c r="I721" s="72" t="n">
        <f aca="false">F721/INDEX(Valeurs!$B$2:$B$40,MATCH(E721,Valeurs!$A$2:$A$40,0))*INDEX(Valeurs!$E$2:$E$40,MATCH(E721,Valeurs!$A$2:$A$40,0))</f>
        <v>0</v>
      </c>
      <c r="J721" s="64" t="n">
        <v>2</v>
      </c>
    </row>
    <row r="722" customFormat="false" ht="15" hidden="false" customHeight="false" outlineLevel="0" collapsed="false">
      <c r="A722" s="70" t="n">
        <v>46312</v>
      </c>
      <c r="B722" s="64" t="s">
        <v>10</v>
      </c>
      <c r="C722" s="64" t="s">
        <v>11</v>
      </c>
      <c r="D722" s="64" t="s">
        <v>6</v>
      </c>
      <c r="E722" s="64" t="s">
        <v>17</v>
      </c>
      <c r="F722" s="71" t="n">
        <f aca="false">Menu!D399</f>
        <v>1</v>
      </c>
      <c r="G722" s="64" t="s">
        <v>171</v>
      </c>
      <c r="H722" s="66" t="n">
        <f aca="false">F722/INDEX(Valeurs!$B$2:$B$40,MATCH(E722,Valeurs!$A$2:$A$40,0))*INDEX(Valeurs!$D$2:$D$40,MATCH(E722,Valeurs!$A$2:$A$40,0))</f>
        <v>87</v>
      </c>
      <c r="I722" s="72" t="n">
        <f aca="false">F722/INDEX(Valeurs!$B$2:$B$40,MATCH(E722,Valeurs!$A$2:$A$40,0))*INDEX(Valeurs!$E$2:$E$40,MATCH(E722,Valeurs!$A$2:$A$40,0))</f>
        <v>7.5</v>
      </c>
      <c r="J722" s="64" t="n">
        <v>2</v>
      </c>
    </row>
    <row r="723" customFormat="false" ht="15" hidden="false" customHeight="false" outlineLevel="0" collapsed="false">
      <c r="A723" s="70" t="n">
        <v>46312</v>
      </c>
      <c r="B723" s="64" t="s">
        <v>10</v>
      </c>
      <c r="C723" s="64" t="s">
        <v>11</v>
      </c>
      <c r="D723" s="64" t="s">
        <v>7</v>
      </c>
      <c r="E723" s="64" t="s">
        <v>17</v>
      </c>
      <c r="F723" s="71" t="n">
        <f aca="false">Menu!E399</f>
        <v>2</v>
      </c>
      <c r="G723" s="64" t="s">
        <v>171</v>
      </c>
      <c r="H723" s="66" t="n">
        <f aca="false">F723/INDEX(Valeurs!$B$2:$B$40,MATCH(E723,Valeurs!$A$2:$A$40,0))*INDEX(Valeurs!$D$2:$D$40,MATCH(E723,Valeurs!$A$2:$A$40,0))</f>
        <v>174</v>
      </c>
      <c r="I723" s="72" t="n">
        <f aca="false">F723/INDEX(Valeurs!$B$2:$B$40,MATCH(E723,Valeurs!$A$2:$A$40,0))*INDEX(Valeurs!$E$2:$E$40,MATCH(E723,Valeurs!$A$2:$A$40,0))</f>
        <v>15</v>
      </c>
      <c r="J723" s="64" t="n">
        <v>2</v>
      </c>
    </row>
    <row r="724" customFormat="false" ht="15" hidden="false" customHeight="false" outlineLevel="0" collapsed="false">
      <c r="A724" s="70" t="n">
        <v>46312</v>
      </c>
      <c r="B724" s="64" t="s">
        <v>10</v>
      </c>
      <c r="C724" s="64" t="s">
        <v>11</v>
      </c>
      <c r="D724" s="64" t="s">
        <v>6</v>
      </c>
      <c r="E724" s="64" t="s">
        <v>19</v>
      </c>
      <c r="F724" s="71" t="n">
        <f aca="false">Menu!D400</f>
        <v>0</v>
      </c>
      <c r="G724" s="64" t="s">
        <v>15</v>
      </c>
      <c r="H724" s="66" t="n">
        <f aca="false">F724/INDEX(Valeurs!$B$2:$B$40,MATCH(E724,Valeurs!$A$2:$A$40,0))*INDEX(Valeurs!$D$2:$D$40,MATCH(E724,Valeurs!$A$2:$A$40,0))</f>
        <v>0</v>
      </c>
      <c r="I724" s="72" t="n">
        <f aca="false">F724/INDEX(Valeurs!$B$2:$B$40,MATCH(E724,Valeurs!$A$2:$A$40,0))*INDEX(Valeurs!$E$2:$E$40,MATCH(E724,Valeurs!$A$2:$A$40,0))</f>
        <v>0</v>
      </c>
      <c r="J724" s="64" t="n">
        <v>2</v>
      </c>
    </row>
    <row r="725" customFormat="false" ht="15" hidden="false" customHeight="false" outlineLevel="0" collapsed="false">
      <c r="A725" s="70" t="n">
        <v>46312</v>
      </c>
      <c r="B725" s="64" t="s">
        <v>10</v>
      </c>
      <c r="C725" s="64" t="s">
        <v>11</v>
      </c>
      <c r="D725" s="64" t="s">
        <v>7</v>
      </c>
      <c r="E725" s="64" t="s">
        <v>19</v>
      </c>
      <c r="F725" s="71" t="n">
        <f aca="false">Menu!E400</f>
        <v>30</v>
      </c>
      <c r="G725" s="64" t="s">
        <v>15</v>
      </c>
      <c r="H725" s="66" t="n">
        <f aca="false">F725/INDEX(Valeurs!$B$2:$B$40,MATCH(E725,Valeurs!$A$2:$A$40,0))*INDEX(Valeurs!$D$2:$D$40,MATCH(E725,Valeurs!$A$2:$A$40,0))</f>
        <v>33</v>
      </c>
      <c r="I725" s="72" t="n">
        <f aca="false">F725/INDEX(Valeurs!$B$2:$B$40,MATCH(E725,Valeurs!$A$2:$A$40,0))*INDEX(Valeurs!$E$2:$E$40,MATCH(E725,Valeurs!$A$2:$A$40,0))</f>
        <v>6</v>
      </c>
      <c r="J725" s="64" t="n">
        <v>2</v>
      </c>
    </row>
    <row r="726" customFormat="false" ht="15" hidden="false" customHeight="false" outlineLevel="0" collapsed="false">
      <c r="A726" s="70" t="n">
        <v>46312</v>
      </c>
      <c r="B726" s="64" t="s">
        <v>10</v>
      </c>
      <c r="C726" s="64" t="s">
        <v>11</v>
      </c>
      <c r="D726" s="64" t="s">
        <v>6</v>
      </c>
      <c r="E726" s="64" t="s">
        <v>20</v>
      </c>
      <c r="F726" s="71" t="n">
        <f aca="false">Menu!D401</f>
        <v>0</v>
      </c>
      <c r="G726" s="64" t="s">
        <v>15</v>
      </c>
      <c r="H726" s="66" t="n">
        <f aca="false">F726/INDEX(Valeurs!$B$2:$B$40,MATCH(E726,Valeurs!$A$2:$A$40,0))*INDEX(Valeurs!$D$2:$D$40,MATCH(E726,Valeurs!$A$2:$A$40,0))</f>
        <v>0</v>
      </c>
      <c r="I726" s="72" t="n">
        <f aca="false">F726/INDEX(Valeurs!$B$2:$B$40,MATCH(E726,Valeurs!$A$2:$A$40,0))*INDEX(Valeurs!$E$2:$E$40,MATCH(E726,Valeurs!$A$2:$A$40,0))</f>
        <v>0</v>
      </c>
      <c r="J726" s="64" t="n">
        <v>2</v>
      </c>
    </row>
    <row r="727" customFormat="false" ht="15" hidden="false" customHeight="false" outlineLevel="0" collapsed="false">
      <c r="A727" s="70" t="n">
        <v>46312</v>
      </c>
      <c r="B727" s="64" t="s">
        <v>10</v>
      </c>
      <c r="C727" s="64" t="s">
        <v>11</v>
      </c>
      <c r="D727" s="64" t="s">
        <v>7</v>
      </c>
      <c r="E727" s="64" t="s">
        <v>20</v>
      </c>
      <c r="F727" s="71" t="n">
        <f aca="false">Menu!E401</f>
        <v>80</v>
      </c>
      <c r="G727" s="64" t="s">
        <v>15</v>
      </c>
      <c r="H727" s="66" t="n">
        <f aca="false">F727/INDEX(Valeurs!$B$2:$B$40,MATCH(E727,Valeurs!$A$2:$A$40,0))*INDEX(Valeurs!$D$2:$D$40,MATCH(E727,Valeurs!$A$2:$A$40,0))</f>
        <v>14.4</v>
      </c>
      <c r="I727" s="72" t="n">
        <f aca="false">F727/INDEX(Valeurs!$B$2:$B$40,MATCH(E727,Valeurs!$A$2:$A$40,0))*INDEX(Valeurs!$E$2:$E$40,MATCH(E727,Valeurs!$A$2:$A$40,0))</f>
        <v>0.72</v>
      </c>
      <c r="J727" s="64" t="n">
        <v>2</v>
      </c>
    </row>
    <row r="728" customFormat="false" ht="15" hidden="false" customHeight="false" outlineLevel="0" collapsed="false">
      <c r="A728" s="70" t="n">
        <v>46312</v>
      </c>
      <c r="B728" s="64" t="s">
        <v>10</v>
      </c>
      <c r="C728" s="64" t="s">
        <v>11</v>
      </c>
      <c r="D728" s="64" t="s">
        <v>6</v>
      </c>
      <c r="E728" s="64" t="s">
        <v>21</v>
      </c>
      <c r="F728" s="71" t="n">
        <f aca="false">Menu!D402</f>
        <v>0</v>
      </c>
      <c r="G728" s="64" t="s">
        <v>15</v>
      </c>
      <c r="H728" s="66" t="n">
        <f aca="false">F728/INDEX(Valeurs!$B$2:$B$40,MATCH(E728,Valeurs!$A$2:$A$40,0))*INDEX(Valeurs!$D$2:$D$40,MATCH(E728,Valeurs!$A$2:$A$40,0))</f>
        <v>0</v>
      </c>
      <c r="I728" s="72" t="n">
        <f aca="false">F728/INDEX(Valeurs!$B$2:$B$40,MATCH(E728,Valeurs!$A$2:$A$40,0))*INDEX(Valeurs!$E$2:$E$40,MATCH(E728,Valeurs!$A$2:$A$40,0))</f>
        <v>0</v>
      </c>
      <c r="J728" s="64" t="n">
        <v>2</v>
      </c>
    </row>
    <row r="729" customFormat="false" ht="15" hidden="false" customHeight="false" outlineLevel="0" collapsed="false">
      <c r="A729" s="70" t="n">
        <v>46312</v>
      </c>
      <c r="B729" s="64" t="s">
        <v>10</v>
      </c>
      <c r="C729" s="64" t="s">
        <v>11</v>
      </c>
      <c r="D729" s="64" t="s">
        <v>7</v>
      </c>
      <c r="E729" s="64" t="s">
        <v>21</v>
      </c>
      <c r="F729" s="71" t="n">
        <f aca="false">Menu!E402</f>
        <v>40</v>
      </c>
      <c r="G729" s="64" t="s">
        <v>15</v>
      </c>
      <c r="H729" s="66" t="n">
        <f aca="false">F729/INDEX(Valeurs!$B$2:$B$40,MATCH(E729,Valeurs!$A$2:$A$40,0))*INDEX(Valeurs!$D$2:$D$40,MATCH(E729,Valeurs!$A$2:$A$40,0))</f>
        <v>96</v>
      </c>
      <c r="I729" s="72" t="n">
        <f aca="false">F729/INDEX(Valeurs!$B$2:$B$40,MATCH(E729,Valeurs!$A$2:$A$40,0))*INDEX(Valeurs!$E$2:$E$40,MATCH(E729,Valeurs!$A$2:$A$40,0))</f>
        <v>3.6</v>
      </c>
      <c r="J729" s="64" t="n">
        <v>2</v>
      </c>
    </row>
    <row r="730" customFormat="false" ht="15" hidden="false" customHeight="false" outlineLevel="0" collapsed="false">
      <c r="A730" s="70" t="n">
        <v>46312</v>
      </c>
      <c r="B730" s="64" t="s">
        <v>10</v>
      </c>
      <c r="C730" s="64" t="s">
        <v>11</v>
      </c>
      <c r="D730" s="64" t="s">
        <v>6</v>
      </c>
      <c r="E730" s="64" t="s">
        <v>22</v>
      </c>
      <c r="F730" s="71" t="n">
        <f aca="false">Menu!D403</f>
        <v>0</v>
      </c>
      <c r="G730" s="64" t="s">
        <v>15</v>
      </c>
      <c r="H730" s="66" t="n">
        <f aca="false">F730/INDEX(Valeurs!$B$2:$B$40,MATCH(E730,Valeurs!$A$2:$A$40,0))*INDEX(Valeurs!$D$2:$D$40,MATCH(E730,Valeurs!$A$2:$A$40,0))</f>
        <v>0</v>
      </c>
      <c r="I730" s="72" t="n">
        <f aca="false">F730/INDEX(Valeurs!$B$2:$B$40,MATCH(E730,Valeurs!$A$2:$A$40,0))*INDEX(Valeurs!$E$2:$E$40,MATCH(E730,Valeurs!$A$2:$A$40,0))</f>
        <v>0</v>
      </c>
      <c r="J730" s="64" t="n">
        <v>2</v>
      </c>
    </row>
    <row r="731" customFormat="false" ht="15" hidden="false" customHeight="false" outlineLevel="0" collapsed="false">
      <c r="A731" s="70" t="n">
        <v>46312</v>
      </c>
      <c r="B731" s="64" t="s">
        <v>10</v>
      </c>
      <c r="C731" s="64" t="s">
        <v>11</v>
      </c>
      <c r="D731" s="64" t="s">
        <v>7</v>
      </c>
      <c r="E731" s="64" t="s">
        <v>22</v>
      </c>
      <c r="F731" s="71" t="n">
        <f aca="false">Menu!E403</f>
        <v>150</v>
      </c>
      <c r="G731" s="64" t="s">
        <v>15</v>
      </c>
      <c r="H731" s="66" t="n">
        <f aca="false">F731/INDEX(Valeurs!$B$2:$B$40,MATCH(E731,Valeurs!$A$2:$A$40,0))*INDEX(Valeurs!$D$2:$D$40,MATCH(E731,Valeurs!$A$2:$A$40,0))</f>
        <v>78</v>
      </c>
      <c r="I731" s="72" t="n">
        <f aca="false">F731/INDEX(Valeurs!$B$2:$B$40,MATCH(E731,Valeurs!$A$2:$A$40,0))*INDEX(Valeurs!$E$2:$E$40,MATCH(E731,Valeurs!$A$2:$A$40,0))</f>
        <v>0.45</v>
      </c>
      <c r="J731" s="64" t="n">
        <v>2</v>
      </c>
    </row>
    <row r="732" customFormat="false" ht="15" hidden="false" customHeight="false" outlineLevel="0" collapsed="false">
      <c r="A732" s="70" t="n">
        <v>46312</v>
      </c>
      <c r="B732" s="64" t="s">
        <v>23</v>
      </c>
      <c r="C732" s="64" t="s">
        <v>104</v>
      </c>
      <c r="D732" s="64" t="s">
        <v>6</v>
      </c>
      <c r="E732" s="64" t="s">
        <v>42</v>
      </c>
      <c r="F732" s="71" t="n">
        <f aca="false">Menu!D404</f>
        <v>150</v>
      </c>
      <c r="G732" s="64" t="s">
        <v>15</v>
      </c>
      <c r="H732" s="66" t="n">
        <f aca="false">F732/INDEX(Valeurs!$B$2:$B$40,MATCH(E732,Valeurs!$A$2:$A$40,0))*INDEX(Valeurs!$D$2:$D$40,MATCH(E732,Valeurs!$A$2:$A$40,0))</f>
        <v>150</v>
      </c>
      <c r="I732" s="72" t="n">
        <f aca="false">F732/INDEX(Valeurs!$B$2:$B$40,MATCH(E732,Valeurs!$A$2:$A$40,0))*INDEX(Valeurs!$E$2:$E$40,MATCH(E732,Valeurs!$A$2:$A$40,0))</f>
        <v>11.25</v>
      </c>
      <c r="J732" s="64" t="n">
        <v>2</v>
      </c>
    </row>
    <row r="733" customFormat="false" ht="15" hidden="false" customHeight="false" outlineLevel="0" collapsed="false">
      <c r="A733" s="70" t="n">
        <v>46312</v>
      </c>
      <c r="B733" s="64" t="s">
        <v>23</v>
      </c>
      <c r="C733" s="64" t="s">
        <v>104</v>
      </c>
      <c r="D733" s="64" t="s">
        <v>7</v>
      </c>
      <c r="E733" s="64" t="s">
        <v>42</v>
      </c>
      <c r="F733" s="71" t="n">
        <f aca="false">Menu!E404</f>
        <v>120</v>
      </c>
      <c r="G733" s="64" t="s">
        <v>15</v>
      </c>
      <c r="H733" s="66" t="n">
        <f aca="false">F733/INDEX(Valeurs!$B$2:$B$40,MATCH(E733,Valeurs!$A$2:$A$40,0))*INDEX(Valeurs!$D$2:$D$40,MATCH(E733,Valeurs!$A$2:$A$40,0))</f>
        <v>120</v>
      </c>
      <c r="I733" s="72" t="n">
        <f aca="false">F733/INDEX(Valeurs!$B$2:$B$40,MATCH(E733,Valeurs!$A$2:$A$40,0))*INDEX(Valeurs!$E$2:$E$40,MATCH(E733,Valeurs!$A$2:$A$40,0))</f>
        <v>9</v>
      </c>
      <c r="J733" s="64" t="n">
        <v>2</v>
      </c>
    </row>
    <row r="734" customFormat="false" ht="15" hidden="false" customHeight="false" outlineLevel="0" collapsed="false">
      <c r="A734" s="70" t="n">
        <v>46312</v>
      </c>
      <c r="B734" s="64" t="s">
        <v>23</v>
      </c>
      <c r="C734" s="64" t="s">
        <v>104</v>
      </c>
      <c r="D734" s="64" t="s">
        <v>6</v>
      </c>
      <c r="E734" s="64" t="s">
        <v>17</v>
      </c>
      <c r="F734" s="71" t="n">
        <f aca="false">Menu!D405</f>
        <v>2</v>
      </c>
      <c r="G734" s="64" t="s">
        <v>171</v>
      </c>
      <c r="H734" s="66" t="n">
        <f aca="false">F734/INDEX(Valeurs!$B$2:$B$40,MATCH(E734,Valeurs!$A$2:$A$40,0))*INDEX(Valeurs!$D$2:$D$40,MATCH(E734,Valeurs!$A$2:$A$40,0))</f>
        <v>174</v>
      </c>
      <c r="I734" s="72" t="n">
        <f aca="false">F734/INDEX(Valeurs!$B$2:$B$40,MATCH(E734,Valeurs!$A$2:$A$40,0))*INDEX(Valeurs!$E$2:$E$40,MATCH(E734,Valeurs!$A$2:$A$40,0))</f>
        <v>15</v>
      </c>
      <c r="J734" s="64" t="n">
        <v>2</v>
      </c>
    </row>
    <row r="735" customFormat="false" ht="15" hidden="false" customHeight="false" outlineLevel="0" collapsed="false">
      <c r="A735" s="70" t="n">
        <v>46312</v>
      </c>
      <c r="B735" s="64" t="s">
        <v>23</v>
      </c>
      <c r="C735" s="64" t="s">
        <v>104</v>
      </c>
      <c r="D735" s="64" t="s">
        <v>7</v>
      </c>
      <c r="E735" s="64" t="s">
        <v>17</v>
      </c>
      <c r="F735" s="71" t="n">
        <f aca="false">Menu!E405</f>
        <v>2</v>
      </c>
      <c r="G735" s="64" t="s">
        <v>171</v>
      </c>
      <c r="H735" s="66" t="n">
        <f aca="false">F735/INDEX(Valeurs!$B$2:$B$40,MATCH(E735,Valeurs!$A$2:$A$40,0))*INDEX(Valeurs!$D$2:$D$40,MATCH(E735,Valeurs!$A$2:$A$40,0))</f>
        <v>174</v>
      </c>
      <c r="I735" s="72" t="n">
        <f aca="false">F735/INDEX(Valeurs!$B$2:$B$40,MATCH(E735,Valeurs!$A$2:$A$40,0))*INDEX(Valeurs!$E$2:$E$40,MATCH(E735,Valeurs!$A$2:$A$40,0))</f>
        <v>15</v>
      </c>
      <c r="J735" s="64" t="n">
        <v>2</v>
      </c>
    </row>
    <row r="736" customFormat="false" ht="15" hidden="false" customHeight="false" outlineLevel="0" collapsed="false">
      <c r="A736" s="70" t="n">
        <v>46312</v>
      </c>
      <c r="B736" s="64" t="s">
        <v>23</v>
      </c>
      <c r="C736" s="64" t="s">
        <v>104</v>
      </c>
      <c r="D736" s="64" t="s">
        <v>6</v>
      </c>
      <c r="E736" s="64" t="s">
        <v>20</v>
      </c>
      <c r="F736" s="71" t="n">
        <f aca="false">Menu!D406</f>
        <v>150</v>
      </c>
      <c r="G736" s="64" t="s">
        <v>15</v>
      </c>
      <c r="H736" s="66" t="n">
        <f aca="false">F736/INDEX(Valeurs!$B$2:$B$40,MATCH(E736,Valeurs!$A$2:$A$40,0))*INDEX(Valeurs!$D$2:$D$40,MATCH(E736,Valeurs!$A$2:$A$40,0))</f>
        <v>27</v>
      </c>
      <c r="I736" s="72" t="n">
        <f aca="false">F736/INDEX(Valeurs!$B$2:$B$40,MATCH(E736,Valeurs!$A$2:$A$40,0))*INDEX(Valeurs!$E$2:$E$40,MATCH(E736,Valeurs!$A$2:$A$40,0))</f>
        <v>1.35</v>
      </c>
      <c r="J736" s="64" t="n">
        <v>2</v>
      </c>
    </row>
    <row r="737" customFormat="false" ht="15" hidden="false" customHeight="false" outlineLevel="0" collapsed="false">
      <c r="A737" s="70" t="n">
        <v>46312</v>
      </c>
      <c r="B737" s="64" t="s">
        <v>23</v>
      </c>
      <c r="C737" s="64" t="s">
        <v>104</v>
      </c>
      <c r="D737" s="64" t="s">
        <v>7</v>
      </c>
      <c r="E737" s="64" t="s">
        <v>20</v>
      </c>
      <c r="F737" s="71" t="n">
        <f aca="false">Menu!E406</f>
        <v>180</v>
      </c>
      <c r="G737" s="64" t="s">
        <v>15</v>
      </c>
      <c r="H737" s="66" t="n">
        <f aca="false">F737/INDEX(Valeurs!$B$2:$B$40,MATCH(E737,Valeurs!$A$2:$A$40,0))*INDEX(Valeurs!$D$2:$D$40,MATCH(E737,Valeurs!$A$2:$A$40,0))</f>
        <v>32.4</v>
      </c>
      <c r="I737" s="72" t="n">
        <f aca="false">F737/INDEX(Valeurs!$B$2:$B$40,MATCH(E737,Valeurs!$A$2:$A$40,0))*INDEX(Valeurs!$E$2:$E$40,MATCH(E737,Valeurs!$A$2:$A$40,0))</f>
        <v>1.62</v>
      </c>
      <c r="J737" s="64" t="n">
        <v>2</v>
      </c>
    </row>
    <row r="738" customFormat="false" ht="15" hidden="false" customHeight="false" outlineLevel="0" collapsed="false">
      <c r="A738" s="70" t="n">
        <v>46312</v>
      </c>
      <c r="B738" s="64" t="s">
        <v>23</v>
      </c>
      <c r="C738" s="64" t="s">
        <v>104</v>
      </c>
      <c r="D738" s="64" t="s">
        <v>6</v>
      </c>
      <c r="E738" s="64" t="s">
        <v>35</v>
      </c>
      <c r="F738" s="71" t="n">
        <f aca="false">Menu!D407</f>
        <v>30</v>
      </c>
      <c r="G738" s="64" t="s">
        <v>15</v>
      </c>
      <c r="H738" s="66" t="n">
        <f aca="false">F738/INDEX(Valeurs!$B$2:$B$40,MATCH(E738,Valeurs!$A$2:$A$40,0))*INDEX(Valeurs!$D$2:$D$40,MATCH(E738,Valeurs!$A$2:$A$40,0))</f>
        <v>12</v>
      </c>
      <c r="I738" s="72" t="n">
        <f aca="false">F738/INDEX(Valeurs!$B$2:$B$40,MATCH(E738,Valeurs!$A$2:$A$40,0))*INDEX(Valeurs!$E$2:$E$40,MATCH(E738,Valeurs!$A$2:$A$40,0))</f>
        <v>0.33</v>
      </c>
      <c r="J738" s="64" t="n">
        <v>2</v>
      </c>
    </row>
    <row r="739" customFormat="false" ht="15" hidden="false" customHeight="false" outlineLevel="0" collapsed="false">
      <c r="A739" s="70" t="n">
        <v>46312</v>
      </c>
      <c r="B739" s="64" t="s">
        <v>23</v>
      </c>
      <c r="C739" s="64" t="s">
        <v>104</v>
      </c>
      <c r="D739" s="64" t="s">
        <v>7</v>
      </c>
      <c r="E739" s="64" t="s">
        <v>35</v>
      </c>
      <c r="F739" s="71" t="n">
        <f aca="false">Menu!E407</f>
        <v>30</v>
      </c>
      <c r="G739" s="64" t="s">
        <v>15</v>
      </c>
      <c r="H739" s="66" t="n">
        <f aca="false">F739/INDEX(Valeurs!$B$2:$B$40,MATCH(E739,Valeurs!$A$2:$A$40,0))*INDEX(Valeurs!$D$2:$D$40,MATCH(E739,Valeurs!$A$2:$A$40,0))</f>
        <v>12</v>
      </c>
      <c r="I739" s="72" t="n">
        <f aca="false">F739/INDEX(Valeurs!$B$2:$B$40,MATCH(E739,Valeurs!$A$2:$A$40,0))*INDEX(Valeurs!$E$2:$E$40,MATCH(E739,Valeurs!$A$2:$A$40,0))</f>
        <v>0.33</v>
      </c>
      <c r="J739" s="64" t="n">
        <v>2</v>
      </c>
    </row>
    <row r="740" customFormat="false" ht="15" hidden="false" customHeight="false" outlineLevel="0" collapsed="false">
      <c r="A740" s="70" t="n">
        <v>46312</v>
      </c>
      <c r="B740" s="64" t="s">
        <v>23</v>
      </c>
      <c r="C740" s="64" t="s">
        <v>104</v>
      </c>
      <c r="D740" s="64" t="s">
        <v>6</v>
      </c>
      <c r="E740" s="64" t="s">
        <v>26</v>
      </c>
      <c r="F740" s="71" t="n">
        <f aca="false">Menu!D408</f>
        <v>240</v>
      </c>
      <c r="G740" s="64" t="s">
        <v>15</v>
      </c>
      <c r="H740" s="66" t="n">
        <f aca="false">F740/INDEX(Valeurs!$B$2:$B$40,MATCH(E740,Valeurs!$A$2:$A$40,0))*INDEX(Valeurs!$D$2:$D$40,MATCH(E740,Valeurs!$A$2:$A$40,0))</f>
        <v>192</v>
      </c>
      <c r="I740" s="72" t="n">
        <f aca="false">F740/INDEX(Valeurs!$B$2:$B$40,MATCH(E740,Valeurs!$A$2:$A$40,0))*INDEX(Valeurs!$E$2:$E$40,MATCH(E740,Valeurs!$A$2:$A$40,0))</f>
        <v>4.8</v>
      </c>
      <c r="J740" s="64" t="n">
        <v>2</v>
      </c>
    </row>
    <row r="741" customFormat="false" ht="15" hidden="false" customHeight="false" outlineLevel="0" collapsed="false">
      <c r="A741" s="70" t="n">
        <v>46312</v>
      </c>
      <c r="B741" s="64" t="s">
        <v>23</v>
      </c>
      <c r="C741" s="64" t="s">
        <v>104</v>
      </c>
      <c r="D741" s="64" t="s">
        <v>7</v>
      </c>
      <c r="E741" s="64" t="s">
        <v>26</v>
      </c>
      <c r="F741" s="71" t="n">
        <f aca="false">Menu!E408</f>
        <v>90</v>
      </c>
      <c r="G741" s="64" t="s">
        <v>15</v>
      </c>
      <c r="H741" s="66" t="n">
        <f aca="false">F741/INDEX(Valeurs!$B$2:$B$40,MATCH(E741,Valeurs!$A$2:$A$40,0))*INDEX(Valeurs!$D$2:$D$40,MATCH(E741,Valeurs!$A$2:$A$40,0))</f>
        <v>72</v>
      </c>
      <c r="I741" s="72" t="n">
        <f aca="false">F741/INDEX(Valeurs!$B$2:$B$40,MATCH(E741,Valeurs!$A$2:$A$40,0))*INDEX(Valeurs!$E$2:$E$40,MATCH(E741,Valeurs!$A$2:$A$40,0))</f>
        <v>1.8</v>
      </c>
      <c r="J741" s="64" t="n">
        <v>2</v>
      </c>
    </row>
    <row r="742" customFormat="false" ht="15" hidden="false" customHeight="false" outlineLevel="0" collapsed="false">
      <c r="A742" s="70" t="n">
        <v>46312</v>
      </c>
      <c r="B742" s="64" t="s">
        <v>23</v>
      </c>
      <c r="C742" s="64" t="s">
        <v>104</v>
      </c>
      <c r="D742" s="64" t="s">
        <v>6</v>
      </c>
      <c r="E742" s="64" t="s">
        <v>28</v>
      </c>
      <c r="F742" s="71" t="n">
        <f aca="false">Menu!D409</f>
        <v>10</v>
      </c>
      <c r="G742" s="64" t="s">
        <v>15</v>
      </c>
      <c r="H742" s="66" t="n">
        <f aca="false">F742/INDEX(Valeurs!$B$2:$B$40,MATCH(E742,Valeurs!$A$2:$A$40,0))*INDEX(Valeurs!$D$2:$D$40,MATCH(E742,Valeurs!$A$2:$A$40,0))</f>
        <v>90</v>
      </c>
      <c r="I742" s="72" t="n">
        <f aca="false">F742/INDEX(Valeurs!$B$2:$B$40,MATCH(E742,Valeurs!$A$2:$A$40,0))*INDEX(Valeurs!$E$2:$E$40,MATCH(E742,Valeurs!$A$2:$A$40,0))</f>
        <v>0</v>
      </c>
      <c r="J742" s="64" t="n">
        <v>2</v>
      </c>
    </row>
    <row r="743" customFormat="false" ht="15" hidden="false" customHeight="false" outlineLevel="0" collapsed="false">
      <c r="A743" s="70" t="n">
        <v>46312</v>
      </c>
      <c r="B743" s="64" t="s">
        <v>23</v>
      </c>
      <c r="C743" s="64" t="s">
        <v>104</v>
      </c>
      <c r="D743" s="64" t="s">
        <v>7</v>
      </c>
      <c r="E743" s="64" t="s">
        <v>28</v>
      </c>
      <c r="F743" s="71" t="n">
        <f aca="false">Menu!E409</f>
        <v>7</v>
      </c>
      <c r="G743" s="64" t="s">
        <v>15</v>
      </c>
      <c r="H743" s="66" t="n">
        <f aca="false">F743/INDEX(Valeurs!$B$2:$B$40,MATCH(E743,Valeurs!$A$2:$A$40,0))*INDEX(Valeurs!$D$2:$D$40,MATCH(E743,Valeurs!$A$2:$A$40,0))</f>
        <v>63</v>
      </c>
      <c r="I743" s="72" t="n">
        <f aca="false">F743/INDEX(Valeurs!$B$2:$B$40,MATCH(E743,Valeurs!$A$2:$A$40,0))*INDEX(Valeurs!$E$2:$E$40,MATCH(E743,Valeurs!$A$2:$A$40,0))</f>
        <v>0</v>
      </c>
      <c r="J743" s="64" t="n">
        <v>2</v>
      </c>
    </row>
    <row r="744" customFormat="false" ht="15" hidden="false" customHeight="false" outlineLevel="0" collapsed="false">
      <c r="A744" s="70" t="n">
        <v>46312</v>
      </c>
      <c r="B744" s="64" t="s">
        <v>29</v>
      </c>
      <c r="C744" s="64" t="s">
        <v>105</v>
      </c>
      <c r="D744" s="64" t="s">
        <v>6</v>
      </c>
      <c r="E744" s="64" t="s">
        <v>51</v>
      </c>
      <c r="F744" s="71" t="n">
        <f aca="false">Menu!D410</f>
        <v>120</v>
      </c>
      <c r="G744" s="64" t="s">
        <v>15</v>
      </c>
      <c r="H744" s="66" t="n">
        <f aca="false">F744/INDEX(Valeurs!$B$2:$B$40,MATCH(E744,Valeurs!$A$2:$A$40,0))*INDEX(Valeurs!$D$2:$D$40,MATCH(E744,Valeurs!$A$2:$A$40,0))</f>
        <v>168</v>
      </c>
      <c r="I744" s="72" t="n">
        <f aca="false">F744/INDEX(Valeurs!$B$2:$B$40,MATCH(E744,Valeurs!$A$2:$A$40,0))*INDEX(Valeurs!$E$2:$E$40,MATCH(E744,Valeurs!$A$2:$A$40,0))</f>
        <v>25.2</v>
      </c>
      <c r="J744" s="64" t="n">
        <v>2</v>
      </c>
    </row>
    <row r="745" customFormat="false" ht="15" hidden="false" customHeight="false" outlineLevel="0" collapsed="false">
      <c r="A745" s="70" t="n">
        <v>46312</v>
      </c>
      <c r="B745" s="64" t="s">
        <v>29</v>
      </c>
      <c r="C745" s="64" t="s">
        <v>105</v>
      </c>
      <c r="D745" s="64" t="s">
        <v>7</v>
      </c>
      <c r="E745" s="64" t="s">
        <v>51</v>
      </c>
      <c r="F745" s="71" t="n">
        <f aca="false">Menu!E410</f>
        <v>95</v>
      </c>
      <c r="G745" s="64" t="s">
        <v>15</v>
      </c>
      <c r="H745" s="66" t="n">
        <f aca="false">F745/INDEX(Valeurs!$B$2:$B$40,MATCH(E745,Valeurs!$A$2:$A$40,0))*INDEX(Valeurs!$D$2:$D$40,MATCH(E745,Valeurs!$A$2:$A$40,0))</f>
        <v>133</v>
      </c>
      <c r="I745" s="72" t="n">
        <f aca="false">F745/INDEX(Valeurs!$B$2:$B$40,MATCH(E745,Valeurs!$A$2:$A$40,0))*INDEX(Valeurs!$E$2:$E$40,MATCH(E745,Valeurs!$A$2:$A$40,0))</f>
        <v>19.95</v>
      </c>
      <c r="J745" s="64" t="n">
        <v>2</v>
      </c>
    </row>
    <row r="746" customFormat="false" ht="15" hidden="false" customHeight="false" outlineLevel="0" collapsed="false">
      <c r="A746" s="70" t="n">
        <v>46312</v>
      </c>
      <c r="B746" s="64" t="s">
        <v>29</v>
      </c>
      <c r="C746" s="64" t="s">
        <v>105</v>
      </c>
      <c r="D746" s="64" t="s">
        <v>6</v>
      </c>
      <c r="E746" s="64" t="s">
        <v>95</v>
      </c>
      <c r="F746" s="71" t="n">
        <f aca="false">Menu!D411</f>
        <v>2</v>
      </c>
      <c r="G746" s="64" t="s">
        <v>171</v>
      </c>
      <c r="H746" s="66" t="n">
        <f aca="false">F746/INDEX(Valeurs!$B$2:$B$40,MATCH(E746,Valeurs!$A$2:$A$40,0))*INDEX(Valeurs!$D$2:$D$40,MATCH(E746,Valeurs!$A$2:$A$40,0))</f>
        <v>372</v>
      </c>
      <c r="I746" s="72" t="n">
        <f aca="false">F746/INDEX(Valeurs!$B$2:$B$40,MATCH(E746,Valeurs!$A$2:$A$40,0))*INDEX(Valeurs!$E$2:$E$40,MATCH(E746,Valeurs!$A$2:$A$40,0))</f>
        <v>10</v>
      </c>
      <c r="J746" s="64" t="n">
        <v>2</v>
      </c>
    </row>
    <row r="747" customFormat="false" ht="15" hidden="false" customHeight="false" outlineLevel="0" collapsed="false">
      <c r="A747" s="70" t="n">
        <v>46312</v>
      </c>
      <c r="B747" s="64" t="s">
        <v>29</v>
      </c>
      <c r="C747" s="64" t="s">
        <v>105</v>
      </c>
      <c r="D747" s="64" t="s">
        <v>7</v>
      </c>
      <c r="E747" s="64" t="s">
        <v>95</v>
      </c>
      <c r="F747" s="71" t="n">
        <f aca="false">Menu!E411</f>
        <v>1</v>
      </c>
      <c r="G747" s="64" t="s">
        <v>171</v>
      </c>
      <c r="H747" s="66" t="n">
        <f aca="false">F747/INDEX(Valeurs!$B$2:$B$40,MATCH(E747,Valeurs!$A$2:$A$40,0))*INDEX(Valeurs!$D$2:$D$40,MATCH(E747,Valeurs!$A$2:$A$40,0))</f>
        <v>186</v>
      </c>
      <c r="I747" s="72" t="n">
        <f aca="false">F747/INDEX(Valeurs!$B$2:$B$40,MATCH(E747,Valeurs!$A$2:$A$40,0))*INDEX(Valeurs!$E$2:$E$40,MATCH(E747,Valeurs!$A$2:$A$40,0))</f>
        <v>5</v>
      </c>
      <c r="J747" s="64" t="n">
        <v>2</v>
      </c>
    </row>
    <row r="748" customFormat="false" ht="15" hidden="false" customHeight="false" outlineLevel="0" collapsed="false">
      <c r="A748" s="70" t="n">
        <v>46312</v>
      </c>
      <c r="B748" s="64" t="s">
        <v>29</v>
      </c>
      <c r="C748" s="64" t="s">
        <v>105</v>
      </c>
      <c r="D748" s="64" t="s">
        <v>6</v>
      </c>
      <c r="E748" s="64" t="s">
        <v>20</v>
      </c>
      <c r="F748" s="71" t="n">
        <f aca="false">Menu!D412</f>
        <v>80</v>
      </c>
      <c r="G748" s="64" t="s">
        <v>15</v>
      </c>
      <c r="H748" s="66" t="n">
        <f aca="false">F748/INDEX(Valeurs!$B$2:$B$40,MATCH(E748,Valeurs!$A$2:$A$40,0))*INDEX(Valeurs!$D$2:$D$40,MATCH(E748,Valeurs!$A$2:$A$40,0))</f>
        <v>14.4</v>
      </c>
      <c r="I748" s="72" t="n">
        <f aca="false">F748/INDEX(Valeurs!$B$2:$B$40,MATCH(E748,Valeurs!$A$2:$A$40,0))*INDEX(Valeurs!$E$2:$E$40,MATCH(E748,Valeurs!$A$2:$A$40,0))</f>
        <v>0.72</v>
      </c>
      <c r="J748" s="64" t="n">
        <v>2</v>
      </c>
    </row>
    <row r="749" customFormat="false" ht="15" hidden="false" customHeight="false" outlineLevel="0" collapsed="false">
      <c r="A749" s="70" t="n">
        <v>46312</v>
      </c>
      <c r="B749" s="64" t="s">
        <v>29</v>
      </c>
      <c r="C749" s="64" t="s">
        <v>105</v>
      </c>
      <c r="D749" s="64" t="s">
        <v>7</v>
      </c>
      <c r="E749" s="64" t="s">
        <v>20</v>
      </c>
      <c r="F749" s="71" t="n">
        <f aca="false">Menu!E412</f>
        <v>100</v>
      </c>
      <c r="G749" s="64" t="s">
        <v>15</v>
      </c>
      <c r="H749" s="66" t="n">
        <f aca="false">F749/INDEX(Valeurs!$B$2:$B$40,MATCH(E749,Valeurs!$A$2:$A$40,0))*INDEX(Valeurs!$D$2:$D$40,MATCH(E749,Valeurs!$A$2:$A$40,0))</f>
        <v>18</v>
      </c>
      <c r="I749" s="72" t="n">
        <f aca="false">F749/INDEX(Valeurs!$B$2:$B$40,MATCH(E749,Valeurs!$A$2:$A$40,0))*INDEX(Valeurs!$E$2:$E$40,MATCH(E749,Valeurs!$A$2:$A$40,0))</f>
        <v>0.9</v>
      </c>
      <c r="J749" s="64" t="n">
        <v>2</v>
      </c>
    </row>
    <row r="750" customFormat="false" ht="15" hidden="false" customHeight="false" outlineLevel="0" collapsed="false">
      <c r="A750" s="70" t="n">
        <v>46312</v>
      </c>
      <c r="B750" s="64" t="s">
        <v>29</v>
      </c>
      <c r="C750" s="64" t="s">
        <v>105</v>
      </c>
      <c r="D750" s="64" t="s">
        <v>6</v>
      </c>
      <c r="E750" s="64" t="s">
        <v>57</v>
      </c>
      <c r="F750" s="71" t="n">
        <f aca="false">Menu!D413</f>
        <v>70</v>
      </c>
      <c r="G750" s="64" t="s">
        <v>15</v>
      </c>
      <c r="H750" s="66" t="n">
        <f aca="false">F750/INDEX(Valeurs!$B$2:$B$40,MATCH(E750,Valeurs!$A$2:$A$40,0))*INDEX(Valeurs!$D$2:$D$40,MATCH(E750,Valeurs!$A$2:$A$40,0))</f>
        <v>112</v>
      </c>
      <c r="I750" s="72" t="n">
        <f aca="false">F750/INDEX(Valeurs!$B$2:$B$40,MATCH(E750,Valeurs!$A$2:$A$40,0))*INDEX(Valeurs!$E$2:$E$40,MATCH(E750,Valeurs!$A$2:$A$40,0))</f>
        <v>1.4</v>
      </c>
      <c r="J750" s="64" t="n">
        <v>2</v>
      </c>
    </row>
    <row r="751" customFormat="false" ht="15" hidden="false" customHeight="false" outlineLevel="0" collapsed="false">
      <c r="A751" s="70" t="n">
        <v>46312</v>
      </c>
      <c r="B751" s="64" t="s">
        <v>29</v>
      </c>
      <c r="C751" s="64" t="s">
        <v>105</v>
      </c>
      <c r="D751" s="64" t="s">
        <v>7</v>
      </c>
      <c r="E751" s="64" t="s">
        <v>57</v>
      </c>
      <c r="F751" s="71" t="n">
        <f aca="false">Menu!E413</f>
        <v>50</v>
      </c>
      <c r="G751" s="64" t="s">
        <v>15</v>
      </c>
      <c r="H751" s="66" t="n">
        <f aca="false">F751/INDEX(Valeurs!$B$2:$B$40,MATCH(E751,Valeurs!$A$2:$A$40,0))*INDEX(Valeurs!$D$2:$D$40,MATCH(E751,Valeurs!$A$2:$A$40,0))</f>
        <v>80</v>
      </c>
      <c r="I751" s="72" t="n">
        <f aca="false">F751/INDEX(Valeurs!$B$2:$B$40,MATCH(E751,Valeurs!$A$2:$A$40,0))*INDEX(Valeurs!$E$2:$E$40,MATCH(E751,Valeurs!$A$2:$A$40,0))</f>
        <v>1</v>
      </c>
      <c r="J751" s="64" t="n">
        <v>2</v>
      </c>
    </row>
    <row r="752" customFormat="false" ht="15" hidden="false" customHeight="false" outlineLevel="0" collapsed="false">
      <c r="A752" s="70" t="n">
        <v>46312</v>
      </c>
      <c r="B752" s="64" t="s">
        <v>29</v>
      </c>
      <c r="C752" s="64" t="s">
        <v>105</v>
      </c>
      <c r="D752" s="64" t="s">
        <v>6</v>
      </c>
      <c r="E752" s="64" t="s">
        <v>35</v>
      </c>
      <c r="F752" s="71" t="n">
        <f aca="false">Menu!D414</f>
        <v>20</v>
      </c>
      <c r="G752" s="64" t="s">
        <v>15</v>
      </c>
      <c r="H752" s="66" t="n">
        <f aca="false">F752/INDEX(Valeurs!$B$2:$B$40,MATCH(E752,Valeurs!$A$2:$A$40,0))*INDEX(Valeurs!$D$2:$D$40,MATCH(E752,Valeurs!$A$2:$A$40,0))</f>
        <v>8</v>
      </c>
      <c r="I752" s="72" t="n">
        <f aca="false">F752/INDEX(Valeurs!$B$2:$B$40,MATCH(E752,Valeurs!$A$2:$A$40,0))*INDEX(Valeurs!$E$2:$E$40,MATCH(E752,Valeurs!$A$2:$A$40,0))</f>
        <v>0.22</v>
      </c>
      <c r="J752" s="64" t="n">
        <v>2</v>
      </c>
    </row>
    <row r="753" customFormat="false" ht="15" hidden="false" customHeight="false" outlineLevel="0" collapsed="false">
      <c r="A753" s="70" t="n">
        <v>46312</v>
      </c>
      <c r="B753" s="64" t="s">
        <v>29</v>
      </c>
      <c r="C753" s="64" t="s">
        <v>105</v>
      </c>
      <c r="D753" s="64" t="s">
        <v>7</v>
      </c>
      <c r="E753" s="64" t="s">
        <v>35</v>
      </c>
      <c r="F753" s="71" t="n">
        <f aca="false">Menu!E414</f>
        <v>20</v>
      </c>
      <c r="G753" s="64" t="s">
        <v>15</v>
      </c>
      <c r="H753" s="66" t="n">
        <f aca="false">F753/INDEX(Valeurs!$B$2:$B$40,MATCH(E753,Valeurs!$A$2:$A$40,0))*INDEX(Valeurs!$D$2:$D$40,MATCH(E753,Valeurs!$A$2:$A$40,0))</f>
        <v>8</v>
      </c>
      <c r="I753" s="72" t="n">
        <f aca="false">F753/INDEX(Valeurs!$B$2:$B$40,MATCH(E753,Valeurs!$A$2:$A$40,0))*INDEX(Valeurs!$E$2:$E$40,MATCH(E753,Valeurs!$A$2:$A$40,0))</f>
        <v>0.22</v>
      </c>
      <c r="J753" s="64" t="n">
        <v>2</v>
      </c>
    </row>
    <row r="754" customFormat="false" ht="15" hidden="false" customHeight="false" outlineLevel="0" collapsed="false">
      <c r="A754" s="70" t="n">
        <v>46312</v>
      </c>
      <c r="B754" s="64" t="s">
        <v>29</v>
      </c>
      <c r="C754" s="64" t="s">
        <v>105</v>
      </c>
      <c r="D754" s="64" t="s">
        <v>6</v>
      </c>
      <c r="E754" s="64" t="s">
        <v>46</v>
      </c>
      <c r="F754" s="71" t="n">
        <f aca="false">Menu!D415</f>
        <v>30</v>
      </c>
      <c r="G754" s="64" t="s">
        <v>15</v>
      </c>
      <c r="H754" s="66" t="n">
        <f aca="false">F754/INDEX(Valeurs!$B$2:$B$40,MATCH(E754,Valeurs!$A$2:$A$40,0))*INDEX(Valeurs!$D$2:$D$40,MATCH(E754,Valeurs!$A$2:$A$40,0))</f>
        <v>4.5</v>
      </c>
      <c r="I754" s="72" t="n">
        <f aca="false">F754/INDEX(Valeurs!$B$2:$B$40,MATCH(E754,Valeurs!$A$2:$A$40,0))*INDEX(Valeurs!$E$2:$E$40,MATCH(E754,Valeurs!$A$2:$A$40,0))</f>
        <v>0.42</v>
      </c>
      <c r="J754" s="64" t="n">
        <v>2</v>
      </c>
    </row>
    <row r="755" customFormat="false" ht="15" hidden="false" customHeight="false" outlineLevel="0" collapsed="false">
      <c r="A755" s="70" t="n">
        <v>46312</v>
      </c>
      <c r="B755" s="64" t="s">
        <v>29</v>
      </c>
      <c r="C755" s="64" t="s">
        <v>105</v>
      </c>
      <c r="D755" s="64" t="s">
        <v>7</v>
      </c>
      <c r="E755" s="64" t="s">
        <v>46</v>
      </c>
      <c r="F755" s="71" t="n">
        <f aca="false">Menu!E415</f>
        <v>40</v>
      </c>
      <c r="G755" s="64" t="s">
        <v>15</v>
      </c>
      <c r="H755" s="66" t="n">
        <f aca="false">F755/INDEX(Valeurs!$B$2:$B$40,MATCH(E755,Valeurs!$A$2:$A$40,0))*INDEX(Valeurs!$D$2:$D$40,MATCH(E755,Valeurs!$A$2:$A$40,0))</f>
        <v>6</v>
      </c>
      <c r="I755" s="72" t="n">
        <f aca="false">F755/INDEX(Valeurs!$B$2:$B$40,MATCH(E755,Valeurs!$A$2:$A$40,0))*INDEX(Valeurs!$E$2:$E$40,MATCH(E755,Valeurs!$A$2:$A$40,0))</f>
        <v>0.56</v>
      </c>
      <c r="J755" s="64" t="n">
        <v>2</v>
      </c>
    </row>
    <row r="756" customFormat="false" ht="15" hidden="false" customHeight="false" outlineLevel="0" collapsed="false">
      <c r="A756" s="70" t="n">
        <v>46312</v>
      </c>
      <c r="B756" s="64" t="s">
        <v>29</v>
      </c>
      <c r="C756" s="64" t="s">
        <v>105</v>
      </c>
      <c r="D756" s="64" t="s">
        <v>6</v>
      </c>
      <c r="E756" s="64" t="s">
        <v>55</v>
      </c>
      <c r="F756" s="71" t="n">
        <f aca="false">Menu!D416</f>
        <v>15</v>
      </c>
      <c r="G756" s="64" t="s">
        <v>15</v>
      </c>
      <c r="H756" s="66" t="n">
        <f aca="false">F756/INDEX(Valeurs!$B$2:$B$40,MATCH(E756,Valeurs!$A$2:$A$40,0))*INDEX(Valeurs!$D$2:$D$40,MATCH(E756,Valeurs!$A$2:$A$40,0))</f>
        <v>61.5</v>
      </c>
      <c r="I756" s="72" t="n">
        <f aca="false">F756/INDEX(Valeurs!$B$2:$B$40,MATCH(E756,Valeurs!$A$2:$A$40,0))*INDEX(Valeurs!$E$2:$E$40,MATCH(E756,Valeurs!$A$2:$A$40,0))</f>
        <v>3.75</v>
      </c>
      <c r="J756" s="64" t="n">
        <v>2</v>
      </c>
    </row>
    <row r="757" customFormat="false" ht="15" hidden="false" customHeight="false" outlineLevel="0" collapsed="false">
      <c r="A757" s="70" t="n">
        <v>46312</v>
      </c>
      <c r="B757" s="64" t="s">
        <v>29</v>
      </c>
      <c r="C757" s="64" t="s">
        <v>105</v>
      </c>
      <c r="D757" s="64" t="s">
        <v>7</v>
      </c>
      <c r="E757" s="64" t="s">
        <v>55</v>
      </c>
      <c r="F757" s="71" t="n">
        <f aca="false">Menu!E416</f>
        <v>10</v>
      </c>
      <c r="G757" s="64" t="s">
        <v>15</v>
      </c>
      <c r="H757" s="66" t="n">
        <f aca="false">F757/INDEX(Valeurs!$B$2:$B$40,MATCH(E757,Valeurs!$A$2:$A$40,0))*INDEX(Valeurs!$D$2:$D$40,MATCH(E757,Valeurs!$A$2:$A$40,0))</f>
        <v>41</v>
      </c>
      <c r="I757" s="72" t="n">
        <f aca="false">F757/INDEX(Valeurs!$B$2:$B$40,MATCH(E757,Valeurs!$A$2:$A$40,0))*INDEX(Valeurs!$E$2:$E$40,MATCH(E757,Valeurs!$A$2:$A$40,0))</f>
        <v>2.5</v>
      </c>
      <c r="J757" s="64" t="n">
        <v>2</v>
      </c>
    </row>
    <row r="758" customFormat="false" ht="15" hidden="false" customHeight="false" outlineLevel="0" collapsed="false">
      <c r="A758" s="70" t="n">
        <v>46312</v>
      </c>
      <c r="B758" s="64" t="s">
        <v>29</v>
      </c>
      <c r="C758" s="64" t="s">
        <v>105</v>
      </c>
      <c r="D758" s="64" t="s">
        <v>6</v>
      </c>
      <c r="E758" s="64" t="s">
        <v>28</v>
      </c>
      <c r="F758" s="71" t="n">
        <f aca="false">Menu!D417</f>
        <v>6</v>
      </c>
      <c r="G758" s="64" t="s">
        <v>15</v>
      </c>
      <c r="H758" s="66" t="n">
        <f aca="false">F758/INDEX(Valeurs!$B$2:$B$40,MATCH(E758,Valeurs!$A$2:$A$40,0))*INDEX(Valeurs!$D$2:$D$40,MATCH(E758,Valeurs!$A$2:$A$40,0))</f>
        <v>54</v>
      </c>
      <c r="I758" s="72" t="n">
        <f aca="false">F758/INDEX(Valeurs!$B$2:$B$40,MATCH(E758,Valeurs!$A$2:$A$40,0))*INDEX(Valeurs!$E$2:$E$40,MATCH(E758,Valeurs!$A$2:$A$40,0))</f>
        <v>0</v>
      </c>
      <c r="J758" s="64" t="n">
        <v>2</v>
      </c>
    </row>
    <row r="759" customFormat="false" ht="15" hidden="false" customHeight="false" outlineLevel="0" collapsed="false">
      <c r="A759" s="70" t="n">
        <v>46312</v>
      </c>
      <c r="B759" s="64" t="s">
        <v>29</v>
      </c>
      <c r="C759" s="64" t="s">
        <v>105</v>
      </c>
      <c r="D759" s="64" t="s">
        <v>7</v>
      </c>
      <c r="E759" s="64" t="s">
        <v>28</v>
      </c>
      <c r="F759" s="71" t="n">
        <f aca="false">Menu!E417</f>
        <v>4</v>
      </c>
      <c r="G759" s="64" t="s">
        <v>15</v>
      </c>
      <c r="H759" s="66" t="n">
        <f aca="false">F759/INDEX(Valeurs!$B$2:$B$40,MATCH(E759,Valeurs!$A$2:$A$40,0))*INDEX(Valeurs!$D$2:$D$40,MATCH(E759,Valeurs!$A$2:$A$40,0))</f>
        <v>36</v>
      </c>
      <c r="I759" s="72" t="n">
        <f aca="false">F759/INDEX(Valeurs!$B$2:$B$40,MATCH(E759,Valeurs!$A$2:$A$40,0))*INDEX(Valeurs!$E$2:$E$40,MATCH(E759,Valeurs!$A$2:$A$40,0))</f>
        <v>0</v>
      </c>
      <c r="J759" s="64" t="n">
        <v>2</v>
      </c>
    </row>
    <row r="760" customFormat="false" ht="15" hidden="false" customHeight="false" outlineLevel="0" collapsed="false">
      <c r="A760" s="70" t="n">
        <v>46312</v>
      </c>
      <c r="B760" s="64" t="s">
        <v>36</v>
      </c>
      <c r="C760" s="64" t="s">
        <v>37</v>
      </c>
      <c r="D760" s="64" t="s">
        <v>6</v>
      </c>
      <c r="E760" s="64" t="s">
        <v>38</v>
      </c>
      <c r="F760" s="71" t="n">
        <f aca="false">Menu!D418</f>
        <v>125</v>
      </c>
      <c r="G760" s="64" t="s">
        <v>15</v>
      </c>
      <c r="H760" s="66" t="n">
        <f aca="false">F760/INDEX(Valeurs!$B$2:$B$40,MATCH(E760,Valeurs!$A$2:$A$40,0))*INDEX(Valeurs!$D$2:$D$40,MATCH(E760,Valeurs!$A$2:$A$40,0))</f>
        <v>75</v>
      </c>
      <c r="I760" s="72" t="n">
        <f aca="false">F760/INDEX(Valeurs!$B$2:$B$40,MATCH(E760,Valeurs!$A$2:$A$40,0))*INDEX(Valeurs!$E$2:$E$40,MATCH(E760,Valeurs!$A$2:$A$40,0))</f>
        <v>5.625</v>
      </c>
      <c r="J760" s="64" t="n">
        <v>2</v>
      </c>
    </row>
    <row r="761" customFormat="false" ht="15" hidden="false" customHeight="false" outlineLevel="0" collapsed="false">
      <c r="A761" s="70" t="n">
        <v>46312</v>
      </c>
      <c r="B761" s="64" t="s">
        <v>36</v>
      </c>
      <c r="C761" s="64" t="s">
        <v>37</v>
      </c>
      <c r="D761" s="64" t="s">
        <v>7</v>
      </c>
      <c r="E761" s="64" t="s">
        <v>38</v>
      </c>
      <c r="F761" s="71" t="n">
        <f aca="false">Menu!E418</f>
        <v>125</v>
      </c>
      <c r="G761" s="64" t="s">
        <v>15</v>
      </c>
      <c r="H761" s="66" t="n">
        <f aca="false">F761/INDEX(Valeurs!$B$2:$B$40,MATCH(E761,Valeurs!$A$2:$A$40,0))*INDEX(Valeurs!$D$2:$D$40,MATCH(E761,Valeurs!$A$2:$A$40,0))</f>
        <v>75</v>
      </c>
      <c r="I761" s="72" t="n">
        <f aca="false">F761/INDEX(Valeurs!$B$2:$B$40,MATCH(E761,Valeurs!$A$2:$A$40,0))*INDEX(Valeurs!$E$2:$E$40,MATCH(E761,Valeurs!$A$2:$A$40,0))</f>
        <v>5.625</v>
      </c>
      <c r="J761" s="64" t="n">
        <v>2</v>
      </c>
    </row>
    <row r="762" customFormat="false" ht="15" hidden="false" customHeight="false" outlineLevel="0" collapsed="false">
      <c r="A762" s="70" t="n">
        <v>46312</v>
      </c>
      <c r="B762" s="64" t="s">
        <v>36</v>
      </c>
      <c r="C762" s="64" t="s">
        <v>37</v>
      </c>
      <c r="D762" s="64" t="s">
        <v>6</v>
      </c>
      <c r="E762" s="64" t="s">
        <v>39</v>
      </c>
      <c r="F762" s="71" t="n">
        <f aca="false">Menu!D419</f>
        <v>10</v>
      </c>
      <c r="G762" s="64" t="s">
        <v>15</v>
      </c>
      <c r="H762" s="66" t="n">
        <f aca="false">F762/INDEX(Valeurs!$B$2:$B$40,MATCH(E762,Valeurs!$A$2:$A$40,0))*INDEX(Valeurs!$D$2:$D$40,MATCH(E762,Valeurs!$A$2:$A$40,0))</f>
        <v>58</v>
      </c>
      <c r="I762" s="72" t="n">
        <f aca="false">F762/INDEX(Valeurs!$B$2:$B$40,MATCH(E762,Valeurs!$A$2:$A$40,0))*INDEX(Valeurs!$E$2:$E$40,MATCH(E762,Valeurs!$A$2:$A$40,0))</f>
        <v>0.75</v>
      </c>
      <c r="J762" s="64" t="n">
        <v>2</v>
      </c>
    </row>
    <row r="763" customFormat="false" ht="15" hidden="false" customHeight="false" outlineLevel="0" collapsed="false">
      <c r="A763" s="70" t="n">
        <v>46312</v>
      </c>
      <c r="B763" s="64" t="s">
        <v>36</v>
      </c>
      <c r="C763" s="64" t="s">
        <v>37</v>
      </c>
      <c r="D763" s="64" t="s">
        <v>7</v>
      </c>
      <c r="E763" s="64" t="s">
        <v>39</v>
      </c>
      <c r="F763" s="71" t="n">
        <f aca="false">Menu!E419</f>
        <v>10</v>
      </c>
      <c r="G763" s="64" t="s">
        <v>15</v>
      </c>
      <c r="H763" s="66" t="n">
        <f aca="false">F763/INDEX(Valeurs!$B$2:$B$40,MATCH(E763,Valeurs!$A$2:$A$40,0))*INDEX(Valeurs!$D$2:$D$40,MATCH(E763,Valeurs!$A$2:$A$40,0))</f>
        <v>58</v>
      </c>
      <c r="I763" s="72" t="n">
        <f aca="false">F763/INDEX(Valeurs!$B$2:$B$40,MATCH(E763,Valeurs!$A$2:$A$40,0))*INDEX(Valeurs!$E$2:$E$40,MATCH(E763,Valeurs!$A$2:$A$40,0))</f>
        <v>0.75</v>
      </c>
      <c r="J763" s="64" t="n">
        <v>2</v>
      </c>
    </row>
    <row r="764" customFormat="false" ht="15" hidden="false" customHeight="false" outlineLevel="0" collapsed="false">
      <c r="A764" s="70" t="n">
        <v>46313</v>
      </c>
      <c r="B764" s="64" t="s">
        <v>10</v>
      </c>
      <c r="C764" s="64" t="s">
        <v>11</v>
      </c>
      <c r="D764" s="64" t="s">
        <v>6</v>
      </c>
      <c r="E764" s="64" t="s">
        <v>12</v>
      </c>
      <c r="F764" s="71" t="n">
        <f aca="false">Menu!D422</f>
        <v>250</v>
      </c>
      <c r="G764" s="64" t="s">
        <v>13</v>
      </c>
      <c r="H764" s="66" t="n">
        <f aca="false">F764/INDEX(Valeurs!$B$2:$B$40,MATCH(E764,Valeurs!$A$2:$A$40,0))*INDEX(Valeurs!$D$2:$D$40,MATCH(E764,Valeurs!$A$2:$A$40,0))</f>
        <v>115</v>
      </c>
      <c r="I764" s="72" t="n">
        <f aca="false">F764/INDEX(Valeurs!$B$2:$B$40,MATCH(E764,Valeurs!$A$2:$A$40,0))*INDEX(Valeurs!$E$2:$E$40,MATCH(E764,Valeurs!$A$2:$A$40,0))</f>
        <v>8.25</v>
      </c>
      <c r="J764" s="64" t="n">
        <v>2</v>
      </c>
    </row>
    <row r="765" customFormat="false" ht="15" hidden="false" customHeight="false" outlineLevel="0" collapsed="false">
      <c r="A765" s="70" t="n">
        <v>46313</v>
      </c>
      <c r="B765" s="64" t="s">
        <v>10</v>
      </c>
      <c r="C765" s="64" t="s">
        <v>11</v>
      </c>
      <c r="D765" s="64" t="s">
        <v>7</v>
      </c>
      <c r="E765" s="64" t="s">
        <v>12</v>
      </c>
      <c r="F765" s="71" t="n">
        <f aca="false">Menu!E422</f>
        <v>0</v>
      </c>
      <c r="G765" s="64" t="s">
        <v>13</v>
      </c>
      <c r="H765" s="66" t="n">
        <f aca="false">F765/INDEX(Valeurs!$B$2:$B$40,MATCH(E765,Valeurs!$A$2:$A$40,0))*INDEX(Valeurs!$D$2:$D$40,MATCH(E765,Valeurs!$A$2:$A$40,0))</f>
        <v>0</v>
      </c>
      <c r="I765" s="72" t="n">
        <f aca="false">F765/INDEX(Valeurs!$B$2:$B$40,MATCH(E765,Valeurs!$A$2:$A$40,0))*INDEX(Valeurs!$E$2:$E$40,MATCH(E765,Valeurs!$A$2:$A$40,0))</f>
        <v>0</v>
      </c>
      <c r="J765" s="64" t="n">
        <v>2</v>
      </c>
    </row>
    <row r="766" customFormat="false" ht="15" hidden="false" customHeight="false" outlineLevel="0" collapsed="false">
      <c r="A766" s="70" t="n">
        <v>46313</v>
      </c>
      <c r="B766" s="64" t="s">
        <v>10</v>
      </c>
      <c r="C766" s="64" t="s">
        <v>11</v>
      </c>
      <c r="D766" s="64" t="s">
        <v>6</v>
      </c>
      <c r="E766" s="64" t="s">
        <v>14</v>
      </c>
      <c r="F766" s="71" t="n">
        <f aca="false">Menu!D423</f>
        <v>100</v>
      </c>
      <c r="G766" s="64" t="s">
        <v>15</v>
      </c>
      <c r="H766" s="66" t="n">
        <f aca="false">F766/INDEX(Valeurs!$B$2:$B$40,MATCH(E766,Valeurs!$A$2:$A$40,0))*INDEX(Valeurs!$D$2:$D$40,MATCH(E766,Valeurs!$A$2:$A$40,0))</f>
        <v>90</v>
      </c>
      <c r="I766" s="72" t="n">
        <f aca="false">F766/INDEX(Valeurs!$B$2:$B$40,MATCH(E766,Valeurs!$A$2:$A$40,0))*INDEX(Valeurs!$E$2:$E$40,MATCH(E766,Valeurs!$A$2:$A$40,0))</f>
        <v>1.1</v>
      </c>
      <c r="J766" s="64" t="n">
        <v>2</v>
      </c>
    </row>
    <row r="767" customFormat="false" ht="15" hidden="false" customHeight="false" outlineLevel="0" collapsed="false">
      <c r="A767" s="70" t="n">
        <v>46313</v>
      </c>
      <c r="B767" s="64" t="s">
        <v>10</v>
      </c>
      <c r="C767" s="64" t="s">
        <v>11</v>
      </c>
      <c r="D767" s="64" t="s">
        <v>7</v>
      </c>
      <c r="E767" s="64" t="s">
        <v>14</v>
      </c>
      <c r="F767" s="71" t="n">
        <f aca="false">Menu!E423</f>
        <v>0</v>
      </c>
      <c r="G767" s="64" t="s">
        <v>15</v>
      </c>
      <c r="H767" s="66" t="n">
        <f aca="false">F767/INDEX(Valeurs!$B$2:$B$40,MATCH(E767,Valeurs!$A$2:$A$40,0))*INDEX(Valeurs!$D$2:$D$40,MATCH(E767,Valeurs!$A$2:$A$40,0))</f>
        <v>0</v>
      </c>
      <c r="I767" s="72" t="n">
        <f aca="false">F767/INDEX(Valeurs!$B$2:$B$40,MATCH(E767,Valeurs!$A$2:$A$40,0))*INDEX(Valeurs!$E$2:$E$40,MATCH(E767,Valeurs!$A$2:$A$40,0))</f>
        <v>0</v>
      </c>
      <c r="J767" s="64" t="n">
        <v>2</v>
      </c>
    </row>
    <row r="768" customFormat="false" ht="15" hidden="false" customHeight="false" outlineLevel="0" collapsed="false">
      <c r="A768" s="70" t="n">
        <v>46313</v>
      </c>
      <c r="B768" s="64" t="s">
        <v>10</v>
      </c>
      <c r="C768" s="64" t="s">
        <v>11</v>
      </c>
      <c r="D768" s="64" t="s">
        <v>6</v>
      </c>
      <c r="E768" s="64" t="s">
        <v>16</v>
      </c>
      <c r="F768" s="71" t="n">
        <f aca="false">Menu!D424</f>
        <v>65</v>
      </c>
      <c r="G768" s="64" t="s">
        <v>15</v>
      </c>
      <c r="H768" s="66" t="n">
        <f aca="false">F768/INDEX(Valeurs!$B$2:$B$40,MATCH(E768,Valeurs!$A$2:$A$40,0))*INDEX(Valeurs!$D$2:$D$40,MATCH(E768,Valeurs!$A$2:$A$40,0))</f>
        <v>241.8</v>
      </c>
      <c r="I768" s="72" t="n">
        <f aca="false">F768/INDEX(Valeurs!$B$2:$B$40,MATCH(E768,Valeurs!$A$2:$A$40,0))*INDEX(Valeurs!$E$2:$E$40,MATCH(E768,Valeurs!$A$2:$A$40,0))</f>
        <v>8.775</v>
      </c>
      <c r="J768" s="64" t="n">
        <v>2</v>
      </c>
    </row>
    <row r="769" customFormat="false" ht="15" hidden="false" customHeight="false" outlineLevel="0" collapsed="false">
      <c r="A769" s="70" t="n">
        <v>46313</v>
      </c>
      <c r="B769" s="64" t="s">
        <v>10</v>
      </c>
      <c r="C769" s="64" t="s">
        <v>11</v>
      </c>
      <c r="D769" s="64" t="s">
        <v>7</v>
      </c>
      <c r="E769" s="64" t="s">
        <v>16</v>
      </c>
      <c r="F769" s="71" t="n">
        <f aca="false">Menu!E424</f>
        <v>0</v>
      </c>
      <c r="G769" s="64" t="s">
        <v>15</v>
      </c>
      <c r="H769" s="66" t="n">
        <f aca="false">F769/INDEX(Valeurs!$B$2:$B$40,MATCH(E769,Valeurs!$A$2:$A$40,0))*INDEX(Valeurs!$D$2:$D$40,MATCH(E769,Valeurs!$A$2:$A$40,0))</f>
        <v>0</v>
      </c>
      <c r="I769" s="72" t="n">
        <f aca="false">F769/INDEX(Valeurs!$B$2:$B$40,MATCH(E769,Valeurs!$A$2:$A$40,0))*INDEX(Valeurs!$E$2:$E$40,MATCH(E769,Valeurs!$A$2:$A$40,0))</f>
        <v>0</v>
      </c>
      <c r="J769" s="64" t="n">
        <v>2</v>
      </c>
    </row>
    <row r="770" customFormat="false" ht="15" hidden="false" customHeight="false" outlineLevel="0" collapsed="false">
      <c r="A770" s="70" t="n">
        <v>46313</v>
      </c>
      <c r="B770" s="64" t="s">
        <v>10</v>
      </c>
      <c r="C770" s="64" t="s">
        <v>11</v>
      </c>
      <c r="D770" s="64" t="s">
        <v>6</v>
      </c>
      <c r="E770" s="64" t="s">
        <v>17</v>
      </c>
      <c r="F770" s="71" t="n">
        <f aca="false">Menu!D425</f>
        <v>1</v>
      </c>
      <c r="G770" s="64" t="s">
        <v>171</v>
      </c>
      <c r="H770" s="66" t="n">
        <f aca="false">F770/INDEX(Valeurs!$B$2:$B$40,MATCH(E770,Valeurs!$A$2:$A$40,0))*INDEX(Valeurs!$D$2:$D$40,MATCH(E770,Valeurs!$A$2:$A$40,0))</f>
        <v>87</v>
      </c>
      <c r="I770" s="72" t="n">
        <f aca="false">F770/INDEX(Valeurs!$B$2:$B$40,MATCH(E770,Valeurs!$A$2:$A$40,0))*INDEX(Valeurs!$E$2:$E$40,MATCH(E770,Valeurs!$A$2:$A$40,0))</f>
        <v>7.5</v>
      </c>
      <c r="J770" s="64" t="n">
        <v>2</v>
      </c>
    </row>
    <row r="771" customFormat="false" ht="15" hidden="false" customHeight="false" outlineLevel="0" collapsed="false">
      <c r="A771" s="70" t="n">
        <v>46313</v>
      </c>
      <c r="B771" s="64" t="s">
        <v>10</v>
      </c>
      <c r="C771" s="64" t="s">
        <v>11</v>
      </c>
      <c r="D771" s="64" t="s">
        <v>7</v>
      </c>
      <c r="E771" s="64" t="s">
        <v>17</v>
      </c>
      <c r="F771" s="71" t="n">
        <f aca="false">Menu!E425</f>
        <v>2</v>
      </c>
      <c r="G771" s="64" t="s">
        <v>171</v>
      </c>
      <c r="H771" s="66" t="n">
        <f aca="false">F771/INDEX(Valeurs!$B$2:$B$40,MATCH(E771,Valeurs!$A$2:$A$40,0))*INDEX(Valeurs!$D$2:$D$40,MATCH(E771,Valeurs!$A$2:$A$40,0))</f>
        <v>174</v>
      </c>
      <c r="I771" s="72" t="n">
        <f aca="false">F771/INDEX(Valeurs!$B$2:$B$40,MATCH(E771,Valeurs!$A$2:$A$40,0))*INDEX(Valeurs!$E$2:$E$40,MATCH(E771,Valeurs!$A$2:$A$40,0))</f>
        <v>15</v>
      </c>
      <c r="J771" s="64" t="n">
        <v>2</v>
      </c>
    </row>
    <row r="772" customFormat="false" ht="15" hidden="false" customHeight="false" outlineLevel="0" collapsed="false">
      <c r="A772" s="70" t="n">
        <v>46313</v>
      </c>
      <c r="B772" s="64" t="s">
        <v>10</v>
      </c>
      <c r="C772" s="64" t="s">
        <v>11</v>
      </c>
      <c r="D772" s="64" t="s">
        <v>6</v>
      </c>
      <c r="E772" s="64" t="s">
        <v>19</v>
      </c>
      <c r="F772" s="71" t="n">
        <f aca="false">Menu!D426</f>
        <v>0</v>
      </c>
      <c r="G772" s="64" t="s">
        <v>15</v>
      </c>
      <c r="H772" s="66" t="n">
        <f aca="false">F772/INDEX(Valeurs!$B$2:$B$40,MATCH(E772,Valeurs!$A$2:$A$40,0))*INDEX(Valeurs!$D$2:$D$40,MATCH(E772,Valeurs!$A$2:$A$40,0))</f>
        <v>0</v>
      </c>
      <c r="I772" s="72" t="n">
        <f aca="false">F772/INDEX(Valeurs!$B$2:$B$40,MATCH(E772,Valeurs!$A$2:$A$40,0))*INDEX(Valeurs!$E$2:$E$40,MATCH(E772,Valeurs!$A$2:$A$40,0))</f>
        <v>0</v>
      </c>
      <c r="J772" s="64" t="n">
        <v>2</v>
      </c>
    </row>
    <row r="773" customFormat="false" ht="15" hidden="false" customHeight="false" outlineLevel="0" collapsed="false">
      <c r="A773" s="70" t="n">
        <v>46313</v>
      </c>
      <c r="B773" s="64" t="s">
        <v>10</v>
      </c>
      <c r="C773" s="64" t="s">
        <v>11</v>
      </c>
      <c r="D773" s="64" t="s">
        <v>7</v>
      </c>
      <c r="E773" s="64" t="s">
        <v>19</v>
      </c>
      <c r="F773" s="71" t="n">
        <f aca="false">Menu!E426</f>
        <v>30</v>
      </c>
      <c r="G773" s="64" t="s">
        <v>15</v>
      </c>
      <c r="H773" s="66" t="n">
        <f aca="false">F773/INDEX(Valeurs!$B$2:$B$40,MATCH(E773,Valeurs!$A$2:$A$40,0))*INDEX(Valeurs!$D$2:$D$40,MATCH(E773,Valeurs!$A$2:$A$40,0))</f>
        <v>33</v>
      </c>
      <c r="I773" s="72" t="n">
        <f aca="false">F773/INDEX(Valeurs!$B$2:$B$40,MATCH(E773,Valeurs!$A$2:$A$40,0))*INDEX(Valeurs!$E$2:$E$40,MATCH(E773,Valeurs!$A$2:$A$40,0))</f>
        <v>6</v>
      </c>
      <c r="J773" s="64" t="n">
        <v>2</v>
      </c>
    </row>
    <row r="774" customFormat="false" ht="15" hidden="false" customHeight="false" outlineLevel="0" collapsed="false">
      <c r="A774" s="70" t="n">
        <v>46313</v>
      </c>
      <c r="B774" s="64" t="s">
        <v>10</v>
      </c>
      <c r="C774" s="64" t="s">
        <v>11</v>
      </c>
      <c r="D774" s="64" t="s">
        <v>6</v>
      </c>
      <c r="E774" s="64" t="s">
        <v>20</v>
      </c>
      <c r="F774" s="71" t="n">
        <f aca="false">Menu!D427</f>
        <v>0</v>
      </c>
      <c r="G774" s="64" t="s">
        <v>15</v>
      </c>
      <c r="H774" s="66" t="n">
        <f aca="false">F774/INDEX(Valeurs!$B$2:$B$40,MATCH(E774,Valeurs!$A$2:$A$40,0))*INDEX(Valeurs!$D$2:$D$40,MATCH(E774,Valeurs!$A$2:$A$40,0))</f>
        <v>0</v>
      </c>
      <c r="I774" s="72" t="n">
        <f aca="false">F774/INDEX(Valeurs!$B$2:$B$40,MATCH(E774,Valeurs!$A$2:$A$40,0))*INDEX(Valeurs!$E$2:$E$40,MATCH(E774,Valeurs!$A$2:$A$40,0))</f>
        <v>0</v>
      </c>
      <c r="J774" s="64" t="n">
        <v>2</v>
      </c>
    </row>
    <row r="775" customFormat="false" ht="15" hidden="false" customHeight="false" outlineLevel="0" collapsed="false">
      <c r="A775" s="70" t="n">
        <v>46313</v>
      </c>
      <c r="B775" s="64" t="s">
        <v>10</v>
      </c>
      <c r="C775" s="64" t="s">
        <v>11</v>
      </c>
      <c r="D775" s="64" t="s">
        <v>7</v>
      </c>
      <c r="E775" s="64" t="s">
        <v>20</v>
      </c>
      <c r="F775" s="71" t="n">
        <f aca="false">Menu!E427</f>
        <v>80</v>
      </c>
      <c r="G775" s="64" t="s">
        <v>15</v>
      </c>
      <c r="H775" s="66" t="n">
        <f aca="false">F775/INDEX(Valeurs!$B$2:$B$40,MATCH(E775,Valeurs!$A$2:$A$40,0))*INDEX(Valeurs!$D$2:$D$40,MATCH(E775,Valeurs!$A$2:$A$40,0))</f>
        <v>14.4</v>
      </c>
      <c r="I775" s="72" t="n">
        <f aca="false">F775/INDEX(Valeurs!$B$2:$B$40,MATCH(E775,Valeurs!$A$2:$A$40,0))*INDEX(Valeurs!$E$2:$E$40,MATCH(E775,Valeurs!$A$2:$A$40,0))</f>
        <v>0.72</v>
      </c>
      <c r="J775" s="64" t="n">
        <v>2</v>
      </c>
    </row>
    <row r="776" customFormat="false" ht="15" hidden="false" customHeight="false" outlineLevel="0" collapsed="false">
      <c r="A776" s="70" t="n">
        <v>46313</v>
      </c>
      <c r="B776" s="64" t="s">
        <v>10</v>
      </c>
      <c r="C776" s="64" t="s">
        <v>11</v>
      </c>
      <c r="D776" s="64" t="s">
        <v>6</v>
      </c>
      <c r="E776" s="64" t="s">
        <v>21</v>
      </c>
      <c r="F776" s="71" t="n">
        <f aca="false">Menu!D428</f>
        <v>0</v>
      </c>
      <c r="G776" s="64" t="s">
        <v>15</v>
      </c>
      <c r="H776" s="66" t="n">
        <f aca="false">F776/INDEX(Valeurs!$B$2:$B$40,MATCH(E776,Valeurs!$A$2:$A$40,0))*INDEX(Valeurs!$D$2:$D$40,MATCH(E776,Valeurs!$A$2:$A$40,0))</f>
        <v>0</v>
      </c>
      <c r="I776" s="72" t="n">
        <f aca="false">F776/INDEX(Valeurs!$B$2:$B$40,MATCH(E776,Valeurs!$A$2:$A$40,0))*INDEX(Valeurs!$E$2:$E$40,MATCH(E776,Valeurs!$A$2:$A$40,0))</f>
        <v>0</v>
      </c>
      <c r="J776" s="64" t="n">
        <v>2</v>
      </c>
    </row>
    <row r="777" customFormat="false" ht="15" hidden="false" customHeight="false" outlineLevel="0" collapsed="false">
      <c r="A777" s="70" t="n">
        <v>46313</v>
      </c>
      <c r="B777" s="64" t="s">
        <v>10</v>
      </c>
      <c r="C777" s="64" t="s">
        <v>11</v>
      </c>
      <c r="D777" s="64" t="s">
        <v>7</v>
      </c>
      <c r="E777" s="64" t="s">
        <v>21</v>
      </c>
      <c r="F777" s="71" t="n">
        <f aca="false">Menu!E428</f>
        <v>40</v>
      </c>
      <c r="G777" s="64" t="s">
        <v>15</v>
      </c>
      <c r="H777" s="66" t="n">
        <f aca="false">F777/INDEX(Valeurs!$B$2:$B$40,MATCH(E777,Valeurs!$A$2:$A$40,0))*INDEX(Valeurs!$D$2:$D$40,MATCH(E777,Valeurs!$A$2:$A$40,0))</f>
        <v>96</v>
      </c>
      <c r="I777" s="72" t="n">
        <f aca="false">F777/INDEX(Valeurs!$B$2:$B$40,MATCH(E777,Valeurs!$A$2:$A$40,0))*INDEX(Valeurs!$E$2:$E$40,MATCH(E777,Valeurs!$A$2:$A$40,0))</f>
        <v>3.6</v>
      </c>
      <c r="J777" s="64" t="n">
        <v>2</v>
      </c>
    </row>
    <row r="778" customFormat="false" ht="15" hidden="false" customHeight="false" outlineLevel="0" collapsed="false">
      <c r="A778" s="70" t="n">
        <v>46313</v>
      </c>
      <c r="B778" s="64" t="s">
        <v>10</v>
      </c>
      <c r="C778" s="64" t="s">
        <v>11</v>
      </c>
      <c r="D778" s="64" t="s">
        <v>6</v>
      </c>
      <c r="E778" s="64" t="s">
        <v>22</v>
      </c>
      <c r="F778" s="71" t="n">
        <f aca="false">Menu!D429</f>
        <v>0</v>
      </c>
      <c r="G778" s="64" t="s">
        <v>15</v>
      </c>
      <c r="H778" s="66" t="n">
        <f aca="false">F778/INDEX(Valeurs!$B$2:$B$40,MATCH(E778,Valeurs!$A$2:$A$40,0))*INDEX(Valeurs!$D$2:$D$40,MATCH(E778,Valeurs!$A$2:$A$40,0))</f>
        <v>0</v>
      </c>
      <c r="I778" s="72" t="n">
        <f aca="false">F778/INDEX(Valeurs!$B$2:$B$40,MATCH(E778,Valeurs!$A$2:$A$40,0))*INDEX(Valeurs!$E$2:$E$40,MATCH(E778,Valeurs!$A$2:$A$40,0))</f>
        <v>0</v>
      </c>
      <c r="J778" s="64" t="n">
        <v>2</v>
      </c>
    </row>
    <row r="779" customFormat="false" ht="15" hidden="false" customHeight="false" outlineLevel="0" collapsed="false">
      <c r="A779" s="70" t="n">
        <v>46313</v>
      </c>
      <c r="B779" s="64" t="s">
        <v>10</v>
      </c>
      <c r="C779" s="64" t="s">
        <v>11</v>
      </c>
      <c r="D779" s="64" t="s">
        <v>7</v>
      </c>
      <c r="E779" s="64" t="s">
        <v>22</v>
      </c>
      <c r="F779" s="71" t="n">
        <f aca="false">Menu!E429</f>
        <v>150</v>
      </c>
      <c r="G779" s="64" t="s">
        <v>15</v>
      </c>
      <c r="H779" s="66" t="n">
        <f aca="false">F779/INDEX(Valeurs!$B$2:$B$40,MATCH(E779,Valeurs!$A$2:$A$40,0))*INDEX(Valeurs!$D$2:$D$40,MATCH(E779,Valeurs!$A$2:$A$40,0))</f>
        <v>78</v>
      </c>
      <c r="I779" s="72" t="n">
        <f aca="false">F779/INDEX(Valeurs!$B$2:$B$40,MATCH(E779,Valeurs!$A$2:$A$40,0))*INDEX(Valeurs!$E$2:$E$40,MATCH(E779,Valeurs!$A$2:$A$40,0))</f>
        <v>0.45</v>
      </c>
      <c r="J779" s="64" t="n">
        <v>2</v>
      </c>
    </row>
    <row r="780" customFormat="false" ht="15" hidden="false" customHeight="false" outlineLevel="0" collapsed="false">
      <c r="A780" s="70" t="n">
        <v>46313</v>
      </c>
      <c r="B780" s="64" t="s">
        <v>23</v>
      </c>
      <c r="C780" s="64" t="s">
        <v>107</v>
      </c>
      <c r="D780" s="64" t="s">
        <v>6</v>
      </c>
      <c r="E780" s="64" t="s">
        <v>51</v>
      </c>
      <c r="F780" s="71" t="n">
        <f aca="false">Menu!D430</f>
        <v>100</v>
      </c>
      <c r="G780" s="64" t="s">
        <v>15</v>
      </c>
      <c r="H780" s="66" t="n">
        <f aca="false">F780/INDEX(Valeurs!$B$2:$B$40,MATCH(E780,Valeurs!$A$2:$A$40,0))*INDEX(Valeurs!$D$2:$D$40,MATCH(E780,Valeurs!$A$2:$A$40,0))</f>
        <v>140</v>
      </c>
      <c r="I780" s="72" t="n">
        <f aca="false">F780/INDEX(Valeurs!$B$2:$B$40,MATCH(E780,Valeurs!$A$2:$A$40,0))*INDEX(Valeurs!$E$2:$E$40,MATCH(E780,Valeurs!$A$2:$A$40,0))</f>
        <v>21</v>
      </c>
      <c r="J780" s="64" t="n">
        <v>2</v>
      </c>
    </row>
    <row r="781" customFormat="false" ht="15" hidden="false" customHeight="false" outlineLevel="0" collapsed="false">
      <c r="A781" s="70" t="n">
        <v>46313</v>
      </c>
      <c r="B781" s="64" t="s">
        <v>23</v>
      </c>
      <c r="C781" s="64" t="s">
        <v>107</v>
      </c>
      <c r="D781" s="64" t="s">
        <v>7</v>
      </c>
      <c r="E781" s="64" t="s">
        <v>51</v>
      </c>
      <c r="F781" s="71" t="n">
        <f aca="false">Menu!E430</f>
        <v>80</v>
      </c>
      <c r="G781" s="64" t="s">
        <v>15</v>
      </c>
      <c r="H781" s="66" t="n">
        <f aca="false">F781/INDEX(Valeurs!$B$2:$B$40,MATCH(E781,Valeurs!$A$2:$A$40,0))*INDEX(Valeurs!$D$2:$D$40,MATCH(E781,Valeurs!$A$2:$A$40,0))</f>
        <v>112</v>
      </c>
      <c r="I781" s="72" t="n">
        <f aca="false">F781/INDEX(Valeurs!$B$2:$B$40,MATCH(E781,Valeurs!$A$2:$A$40,0))*INDEX(Valeurs!$E$2:$E$40,MATCH(E781,Valeurs!$A$2:$A$40,0))</f>
        <v>16.8</v>
      </c>
      <c r="J781" s="64" t="n">
        <v>2</v>
      </c>
    </row>
    <row r="782" customFormat="false" ht="15" hidden="false" customHeight="false" outlineLevel="0" collapsed="false">
      <c r="A782" s="70" t="n">
        <v>46313</v>
      </c>
      <c r="B782" s="64" t="s">
        <v>23</v>
      </c>
      <c r="C782" s="64" t="s">
        <v>107</v>
      </c>
      <c r="D782" s="64" t="s">
        <v>6</v>
      </c>
      <c r="E782" s="64" t="s">
        <v>25</v>
      </c>
      <c r="F782" s="71" t="n">
        <f aca="false">Menu!D431</f>
        <v>100</v>
      </c>
      <c r="G782" s="64" t="s">
        <v>15</v>
      </c>
      <c r="H782" s="66" t="n">
        <f aca="false">F782/INDEX(Valeurs!$B$2:$B$40,MATCH(E782,Valeurs!$A$2:$A$40,0))*INDEX(Valeurs!$D$2:$D$40,MATCH(E782,Valeurs!$A$2:$A$40,0))</f>
        <v>115</v>
      </c>
      <c r="I782" s="72" t="n">
        <f aca="false">F782/INDEX(Valeurs!$B$2:$B$40,MATCH(E782,Valeurs!$A$2:$A$40,0))*INDEX(Valeurs!$E$2:$E$40,MATCH(E782,Valeurs!$A$2:$A$40,0))</f>
        <v>23</v>
      </c>
      <c r="J782" s="64" t="n">
        <v>2</v>
      </c>
    </row>
    <row r="783" customFormat="false" ht="15" hidden="false" customHeight="false" outlineLevel="0" collapsed="false">
      <c r="A783" s="70" t="n">
        <v>46313</v>
      </c>
      <c r="B783" s="64" t="s">
        <v>23</v>
      </c>
      <c r="C783" s="64" t="s">
        <v>107</v>
      </c>
      <c r="D783" s="64" t="s">
        <v>7</v>
      </c>
      <c r="E783" s="64" t="s">
        <v>25</v>
      </c>
      <c r="F783" s="71" t="n">
        <f aca="false">Menu!E431</f>
        <v>80</v>
      </c>
      <c r="G783" s="64" t="s">
        <v>15</v>
      </c>
      <c r="H783" s="66" t="n">
        <f aca="false">F783/INDEX(Valeurs!$B$2:$B$40,MATCH(E783,Valeurs!$A$2:$A$40,0))*INDEX(Valeurs!$D$2:$D$40,MATCH(E783,Valeurs!$A$2:$A$40,0))</f>
        <v>92</v>
      </c>
      <c r="I783" s="72" t="n">
        <f aca="false">F783/INDEX(Valeurs!$B$2:$B$40,MATCH(E783,Valeurs!$A$2:$A$40,0))*INDEX(Valeurs!$E$2:$E$40,MATCH(E783,Valeurs!$A$2:$A$40,0))</f>
        <v>18.4</v>
      </c>
      <c r="J783" s="64" t="n">
        <v>2</v>
      </c>
    </row>
    <row r="784" customFormat="false" ht="15" hidden="false" customHeight="false" outlineLevel="0" collapsed="false">
      <c r="A784" s="70" t="n">
        <v>46313</v>
      </c>
      <c r="B784" s="64" t="s">
        <v>23</v>
      </c>
      <c r="C784" s="64" t="s">
        <v>107</v>
      </c>
      <c r="D784" s="64" t="s">
        <v>6</v>
      </c>
      <c r="E784" s="64" t="s">
        <v>26</v>
      </c>
      <c r="F784" s="71" t="n">
        <f aca="false">Menu!D432</f>
        <v>300</v>
      </c>
      <c r="G784" s="64" t="s">
        <v>15</v>
      </c>
      <c r="H784" s="66" t="n">
        <f aca="false">F784/INDEX(Valeurs!$B$2:$B$40,MATCH(E784,Valeurs!$A$2:$A$40,0))*INDEX(Valeurs!$D$2:$D$40,MATCH(E784,Valeurs!$A$2:$A$40,0))</f>
        <v>240</v>
      </c>
      <c r="I784" s="72" t="n">
        <f aca="false">F784/INDEX(Valeurs!$B$2:$B$40,MATCH(E784,Valeurs!$A$2:$A$40,0))*INDEX(Valeurs!$E$2:$E$40,MATCH(E784,Valeurs!$A$2:$A$40,0))</f>
        <v>6</v>
      </c>
      <c r="J784" s="64" t="n">
        <v>2</v>
      </c>
    </row>
    <row r="785" customFormat="false" ht="15" hidden="false" customHeight="false" outlineLevel="0" collapsed="false">
      <c r="A785" s="70" t="n">
        <v>46313</v>
      </c>
      <c r="B785" s="64" t="s">
        <v>23</v>
      </c>
      <c r="C785" s="64" t="s">
        <v>107</v>
      </c>
      <c r="D785" s="64" t="s">
        <v>7</v>
      </c>
      <c r="E785" s="64" t="s">
        <v>26</v>
      </c>
      <c r="F785" s="71" t="n">
        <f aca="false">Menu!E432</f>
        <v>140</v>
      </c>
      <c r="G785" s="64" t="s">
        <v>15</v>
      </c>
      <c r="H785" s="66" t="n">
        <f aca="false">F785/INDEX(Valeurs!$B$2:$B$40,MATCH(E785,Valeurs!$A$2:$A$40,0))*INDEX(Valeurs!$D$2:$D$40,MATCH(E785,Valeurs!$A$2:$A$40,0))</f>
        <v>112</v>
      </c>
      <c r="I785" s="72" t="n">
        <f aca="false">F785/INDEX(Valeurs!$B$2:$B$40,MATCH(E785,Valeurs!$A$2:$A$40,0))*INDEX(Valeurs!$E$2:$E$40,MATCH(E785,Valeurs!$A$2:$A$40,0))</f>
        <v>2.8</v>
      </c>
      <c r="J785" s="64" t="n">
        <v>2</v>
      </c>
    </row>
    <row r="786" customFormat="false" ht="15" hidden="false" customHeight="false" outlineLevel="0" collapsed="false">
      <c r="A786" s="70" t="n">
        <v>46313</v>
      </c>
      <c r="B786" s="64" t="s">
        <v>23</v>
      </c>
      <c r="C786" s="64" t="s">
        <v>107</v>
      </c>
      <c r="D786" s="64" t="s">
        <v>6</v>
      </c>
      <c r="E786" s="64" t="s">
        <v>33</v>
      </c>
      <c r="F786" s="71" t="n">
        <f aca="false">Menu!D433</f>
        <v>120</v>
      </c>
      <c r="G786" s="64" t="s">
        <v>15</v>
      </c>
      <c r="H786" s="66" t="n">
        <f aca="false">F786/INDEX(Valeurs!$B$2:$B$40,MATCH(E786,Valeurs!$A$2:$A$40,0))*INDEX(Valeurs!$D$2:$D$40,MATCH(E786,Valeurs!$A$2:$A$40,0))</f>
        <v>20.4</v>
      </c>
      <c r="I786" s="72" t="n">
        <f aca="false">F786/INDEX(Valeurs!$B$2:$B$40,MATCH(E786,Valeurs!$A$2:$A$40,0))*INDEX(Valeurs!$E$2:$E$40,MATCH(E786,Valeurs!$A$2:$A$40,0))</f>
        <v>1.44</v>
      </c>
      <c r="J786" s="64" t="n">
        <v>2</v>
      </c>
    </row>
    <row r="787" customFormat="false" ht="15" hidden="false" customHeight="false" outlineLevel="0" collapsed="false">
      <c r="A787" s="70" t="n">
        <v>46313</v>
      </c>
      <c r="B787" s="64" t="s">
        <v>23</v>
      </c>
      <c r="C787" s="64" t="s">
        <v>107</v>
      </c>
      <c r="D787" s="64" t="s">
        <v>7</v>
      </c>
      <c r="E787" s="64" t="s">
        <v>33</v>
      </c>
      <c r="F787" s="71" t="n">
        <f aca="false">Menu!E433</f>
        <v>150</v>
      </c>
      <c r="G787" s="64" t="s">
        <v>15</v>
      </c>
      <c r="H787" s="66" t="n">
        <f aca="false">F787/INDEX(Valeurs!$B$2:$B$40,MATCH(E787,Valeurs!$A$2:$A$40,0))*INDEX(Valeurs!$D$2:$D$40,MATCH(E787,Valeurs!$A$2:$A$40,0))</f>
        <v>25.5</v>
      </c>
      <c r="I787" s="72" t="n">
        <f aca="false">F787/INDEX(Valeurs!$B$2:$B$40,MATCH(E787,Valeurs!$A$2:$A$40,0))*INDEX(Valeurs!$E$2:$E$40,MATCH(E787,Valeurs!$A$2:$A$40,0))</f>
        <v>1.8</v>
      </c>
      <c r="J787" s="64" t="n">
        <v>2</v>
      </c>
    </row>
    <row r="788" customFormat="false" ht="15" hidden="false" customHeight="false" outlineLevel="0" collapsed="false">
      <c r="A788" s="70" t="n">
        <v>46313</v>
      </c>
      <c r="B788" s="64" t="s">
        <v>23</v>
      </c>
      <c r="C788" s="64" t="s">
        <v>107</v>
      </c>
      <c r="D788" s="64" t="s">
        <v>6</v>
      </c>
      <c r="E788" s="64" t="s">
        <v>72</v>
      </c>
      <c r="F788" s="71" t="n">
        <f aca="false">Menu!D434</f>
        <v>110</v>
      </c>
      <c r="G788" s="64" t="s">
        <v>15</v>
      </c>
      <c r="H788" s="66" t="n">
        <f aca="false">F788/INDEX(Valeurs!$B$2:$B$40,MATCH(E788,Valeurs!$A$2:$A$40,0))*INDEX(Valeurs!$D$2:$D$40,MATCH(E788,Valeurs!$A$2:$A$40,0))</f>
        <v>27.5</v>
      </c>
      <c r="I788" s="72" t="n">
        <f aca="false">F788/INDEX(Valeurs!$B$2:$B$40,MATCH(E788,Valeurs!$A$2:$A$40,0))*INDEX(Valeurs!$E$2:$E$40,MATCH(E788,Valeurs!$A$2:$A$40,0))</f>
        <v>1.1</v>
      </c>
      <c r="J788" s="64" t="n">
        <v>2</v>
      </c>
    </row>
    <row r="789" customFormat="false" ht="15" hidden="false" customHeight="false" outlineLevel="0" collapsed="false">
      <c r="A789" s="70" t="n">
        <v>46313</v>
      </c>
      <c r="B789" s="64" t="s">
        <v>23</v>
      </c>
      <c r="C789" s="64" t="s">
        <v>107</v>
      </c>
      <c r="D789" s="64" t="s">
        <v>7</v>
      </c>
      <c r="E789" s="64" t="s">
        <v>72</v>
      </c>
      <c r="F789" s="71" t="n">
        <f aca="false">Menu!E434</f>
        <v>140</v>
      </c>
      <c r="G789" s="64" t="s">
        <v>15</v>
      </c>
      <c r="H789" s="66" t="n">
        <f aca="false">F789/INDEX(Valeurs!$B$2:$B$40,MATCH(E789,Valeurs!$A$2:$A$40,0))*INDEX(Valeurs!$D$2:$D$40,MATCH(E789,Valeurs!$A$2:$A$40,0))</f>
        <v>35</v>
      </c>
      <c r="I789" s="72" t="n">
        <f aca="false">F789/INDEX(Valeurs!$B$2:$B$40,MATCH(E789,Valeurs!$A$2:$A$40,0))*INDEX(Valeurs!$E$2:$E$40,MATCH(E789,Valeurs!$A$2:$A$40,0))</f>
        <v>1.4</v>
      </c>
      <c r="J789" s="64" t="n">
        <v>2</v>
      </c>
    </row>
    <row r="790" customFormat="false" ht="15" hidden="false" customHeight="false" outlineLevel="0" collapsed="false">
      <c r="A790" s="70" t="n">
        <v>46313</v>
      </c>
      <c r="B790" s="64" t="s">
        <v>23</v>
      </c>
      <c r="C790" s="64" t="s">
        <v>107</v>
      </c>
      <c r="D790" s="64" t="s">
        <v>6</v>
      </c>
      <c r="E790" s="64" t="s">
        <v>35</v>
      </c>
      <c r="F790" s="71" t="n">
        <f aca="false">Menu!D435</f>
        <v>20</v>
      </c>
      <c r="G790" s="64" t="s">
        <v>15</v>
      </c>
      <c r="H790" s="66" t="n">
        <f aca="false">F790/INDEX(Valeurs!$B$2:$B$40,MATCH(E790,Valeurs!$A$2:$A$40,0))*INDEX(Valeurs!$D$2:$D$40,MATCH(E790,Valeurs!$A$2:$A$40,0))</f>
        <v>8</v>
      </c>
      <c r="I790" s="72" t="n">
        <f aca="false">F790/INDEX(Valeurs!$B$2:$B$40,MATCH(E790,Valeurs!$A$2:$A$40,0))*INDEX(Valeurs!$E$2:$E$40,MATCH(E790,Valeurs!$A$2:$A$40,0))</f>
        <v>0.22</v>
      </c>
      <c r="J790" s="64" t="n">
        <v>2</v>
      </c>
    </row>
    <row r="791" customFormat="false" ht="15" hidden="false" customHeight="false" outlineLevel="0" collapsed="false">
      <c r="A791" s="70" t="n">
        <v>46313</v>
      </c>
      <c r="B791" s="64" t="s">
        <v>23</v>
      </c>
      <c r="C791" s="64" t="s">
        <v>107</v>
      </c>
      <c r="D791" s="64" t="s">
        <v>7</v>
      </c>
      <c r="E791" s="64" t="s">
        <v>35</v>
      </c>
      <c r="F791" s="71" t="n">
        <f aca="false">Menu!E435</f>
        <v>20</v>
      </c>
      <c r="G791" s="64" t="s">
        <v>15</v>
      </c>
      <c r="H791" s="66" t="n">
        <f aca="false">F791/INDEX(Valeurs!$B$2:$B$40,MATCH(E791,Valeurs!$A$2:$A$40,0))*INDEX(Valeurs!$D$2:$D$40,MATCH(E791,Valeurs!$A$2:$A$40,0))</f>
        <v>8</v>
      </c>
      <c r="I791" s="72" t="n">
        <f aca="false">F791/INDEX(Valeurs!$B$2:$B$40,MATCH(E791,Valeurs!$A$2:$A$40,0))*INDEX(Valeurs!$E$2:$E$40,MATCH(E791,Valeurs!$A$2:$A$40,0))</f>
        <v>0.22</v>
      </c>
      <c r="J791" s="64" t="n">
        <v>2</v>
      </c>
    </row>
    <row r="792" customFormat="false" ht="15" hidden="false" customHeight="false" outlineLevel="0" collapsed="false">
      <c r="A792" s="70" t="n">
        <v>46313</v>
      </c>
      <c r="B792" s="64" t="s">
        <v>23</v>
      </c>
      <c r="C792" s="64" t="s">
        <v>107</v>
      </c>
      <c r="D792" s="64" t="s">
        <v>6</v>
      </c>
      <c r="E792" s="64" t="s">
        <v>28</v>
      </c>
      <c r="F792" s="71" t="n">
        <f aca="false">Menu!D436</f>
        <v>12</v>
      </c>
      <c r="G792" s="64" t="s">
        <v>15</v>
      </c>
      <c r="H792" s="66" t="n">
        <f aca="false">F792/INDEX(Valeurs!$B$2:$B$40,MATCH(E792,Valeurs!$A$2:$A$40,0))*INDEX(Valeurs!$D$2:$D$40,MATCH(E792,Valeurs!$A$2:$A$40,0))</f>
        <v>108</v>
      </c>
      <c r="I792" s="72" t="n">
        <f aca="false">F792/INDEX(Valeurs!$B$2:$B$40,MATCH(E792,Valeurs!$A$2:$A$40,0))*INDEX(Valeurs!$E$2:$E$40,MATCH(E792,Valeurs!$A$2:$A$40,0))</f>
        <v>0</v>
      </c>
      <c r="J792" s="64" t="n">
        <v>2</v>
      </c>
    </row>
    <row r="793" customFormat="false" ht="15" hidden="false" customHeight="false" outlineLevel="0" collapsed="false">
      <c r="A793" s="70" t="n">
        <v>46313</v>
      </c>
      <c r="B793" s="64" t="s">
        <v>23</v>
      </c>
      <c r="C793" s="64" t="s">
        <v>107</v>
      </c>
      <c r="D793" s="64" t="s">
        <v>7</v>
      </c>
      <c r="E793" s="64" t="s">
        <v>28</v>
      </c>
      <c r="F793" s="71" t="n">
        <f aca="false">Menu!E436</f>
        <v>8</v>
      </c>
      <c r="G793" s="64" t="s">
        <v>15</v>
      </c>
      <c r="H793" s="66" t="n">
        <f aca="false">F793/INDEX(Valeurs!$B$2:$B$40,MATCH(E793,Valeurs!$A$2:$A$40,0))*INDEX(Valeurs!$D$2:$D$40,MATCH(E793,Valeurs!$A$2:$A$40,0))</f>
        <v>72</v>
      </c>
      <c r="I793" s="72" t="n">
        <f aca="false">F793/INDEX(Valeurs!$B$2:$B$40,MATCH(E793,Valeurs!$A$2:$A$40,0))*INDEX(Valeurs!$E$2:$E$40,MATCH(E793,Valeurs!$A$2:$A$40,0))</f>
        <v>0</v>
      </c>
      <c r="J793" s="64" t="n">
        <v>2</v>
      </c>
    </row>
    <row r="794" customFormat="false" ht="15" hidden="false" customHeight="false" outlineLevel="0" collapsed="false">
      <c r="A794" s="70" t="n">
        <v>46313</v>
      </c>
      <c r="B794" s="64" t="s">
        <v>29</v>
      </c>
      <c r="C794" s="64" t="s">
        <v>108</v>
      </c>
      <c r="D794" s="64" t="s">
        <v>6</v>
      </c>
      <c r="E794" s="64" t="s">
        <v>25</v>
      </c>
      <c r="F794" s="71" t="n">
        <f aca="false">Menu!D437</f>
        <v>110</v>
      </c>
      <c r="G794" s="64" t="s">
        <v>15</v>
      </c>
      <c r="H794" s="66" t="n">
        <f aca="false">F794/INDEX(Valeurs!$B$2:$B$40,MATCH(E794,Valeurs!$A$2:$A$40,0))*INDEX(Valeurs!$D$2:$D$40,MATCH(E794,Valeurs!$A$2:$A$40,0))</f>
        <v>126.5</v>
      </c>
      <c r="I794" s="72" t="n">
        <f aca="false">F794/INDEX(Valeurs!$B$2:$B$40,MATCH(E794,Valeurs!$A$2:$A$40,0))*INDEX(Valeurs!$E$2:$E$40,MATCH(E794,Valeurs!$A$2:$A$40,0))</f>
        <v>25.3</v>
      </c>
      <c r="J794" s="64" t="n">
        <v>2</v>
      </c>
    </row>
    <row r="795" customFormat="false" ht="15" hidden="false" customHeight="false" outlineLevel="0" collapsed="false">
      <c r="A795" s="70" t="n">
        <v>46313</v>
      </c>
      <c r="B795" s="64" t="s">
        <v>29</v>
      </c>
      <c r="C795" s="64" t="s">
        <v>108</v>
      </c>
      <c r="D795" s="64" t="s">
        <v>7</v>
      </c>
      <c r="E795" s="64" t="s">
        <v>25</v>
      </c>
      <c r="F795" s="71" t="n">
        <f aca="false">Menu!E437</f>
        <v>90</v>
      </c>
      <c r="G795" s="64" t="s">
        <v>15</v>
      </c>
      <c r="H795" s="66" t="n">
        <f aca="false">F795/INDEX(Valeurs!$B$2:$B$40,MATCH(E795,Valeurs!$A$2:$A$40,0))*INDEX(Valeurs!$D$2:$D$40,MATCH(E795,Valeurs!$A$2:$A$40,0))</f>
        <v>103.5</v>
      </c>
      <c r="I795" s="72" t="n">
        <f aca="false">F795/INDEX(Valeurs!$B$2:$B$40,MATCH(E795,Valeurs!$A$2:$A$40,0))*INDEX(Valeurs!$E$2:$E$40,MATCH(E795,Valeurs!$A$2:$A$40,0))</f>
        <v>20.7</v>
      </c>
      <c r="J795" s="64" t="n">
        <v>2</v>
      </c>
    </row>
    <row r="796" customFormat="false" ht="15" hidden="false" customHeight="false" outlineLevel="0" collapsed="false">
      <c r="A796" s="70" t="n">
        <v>46313</v>
      </c>
      <c r="B796" s="64" t="s">
        <v>29</v>
      </c>
      <c r="C796" s="64" t="s">
        <v>108</v>
      </c>
      <c r="D796" s="64" t="s">
        <v>6</v>
      </c>
      <c r="E796" s="64" t="s">
        <v>57</v>
      </c>
      <c r="F796" s="71" t="n">
        <f aca="false">Menu!D438</f>
        <v>80</v>
      </c>
      <c r="G796" s="64" t="s">
        <v>15</v>
      </c>
      <c r="H796" s="66" t="n">
        <f aca="false">F796/INDEX(Valeurs!$B$2:$B$40,MATCH(E796,Valeurs!$A$2:$A$40,0))*INDEX(Valeurs!$D$2:$D$40,MATCH(E796,Valeurs!$A$2:$A$40,0))</f>
        <v>128</v>
      </c>
      <c r="I796" s="72" t="n">
        <f aca="false">F796/INDEX(Valeurs!$B$2:$B$40,MATCH(E796,Valeurs!$A$2:$A$40,0))*INDEX(Valeurs!$E$2:$E$40,MATCH(E796,Valeurs!$A$2:$A$40,0))</f>
        <v>1.6</v>
      </c>
      <c r="J796" s="64" t="n">
        <v>2</v>
      </c>
    </row>
    <row r="797" customFormat="false" ht="15" hidden="false" customHeight="false" outlineLevel="0" collapsed="false">
      <c r="A797" s="70" t="n">
        <v>46313</v>
      </c>
      <c r="B797" s="64" t="s">
        <v>29</v>
      </c>
      <c r="C797" s="64" t="s">
        <v>108</v>
      </c>
      <c r="D797" s="64" t="s">
        <v>7</v>
      </c>
      <c r="E797" s="64" t="s">
        <v>57</v>
      </c>
      <c r="F797" s="71" t="n">
        <f aca="false">Menu!E438</f>
        <v>60</v>
      </c>
      <c r="G797" s="64" t="s">
        <v>15</v>
      </c>
      <c r="H797" s="66" t="n">
        <f aca="false">F797/INDEX(Valeurs!$B$2:$B$40,MATCH(E797,Valeurs!$A$2:$A$40,0))*INDEX(Valeurs!$D$2:$D$40,MATCH(E797,Valeurs!$A$2:$A$40,0))</f>
        <v>96</v>
      </c>
      <c r="I797" s="72" t="n">
        <f aca="false">F797/INDEX(Valeurs!$B$2:$B$40,MATCH(E797,Valeurs!$A$2:$A$40,0))*INDEX(Valeurs!$E$2:$E$40,MATCH(E797,Valeurs!$A$2:$A$40,0))</f>
        <v>1.2</v>
      </c>
      <c r="J797" s="64" t="n">
        <v>2</v>
      </c>
    </row>
    <row r="798" customFormat="false" ht="15" hidden="false" customHeight="false" outlineLevel="0" collapsed="false">
      <c r="A798" s="70" t="n">
        <v>46313</v>
      </c>
      <c r="B798" s="64" t="s">
        <v>29</v>
      </c>
      <c r="C798" s="64" t="s">
        <v>108</v>
      </c>
      <c r="D798" s="64" t="s">
        <v>6</v>
      </c>
      <c r="E798" s="64" t="s">
        <v>20</v>
      </c>
      <c r="F798" s="71" t="n">
        <f aca="false">Menu!D439</f>
        <v>120</v>
      </c>
      <c r="G798" s="64" t="s">
        <v>15</v>
      </c>
      <c r="H798" s="66" t="n">
        <f aca="false">F798/INDEX(Valeurs!$B$2:$B$40,MATCH(E798,Valeurs!$A$2:$A$40,0))*INDEX(Valeurs!$D$2:$D$40,MATCH(E798,Valeurs!$A$2:$A$40,0))</f>
        <v>21.6</v>
      </c>
      <c r="I798" s="72" t="n">
        <f aca="false">F798/INDEX(Valeurs!$B$2:$B$40,MATCH(E798,Valeurs!$A$2:$A$40,0))*INDEX(Valeurs!$E$2:$E$40,MATCH(E798,Valeurs!$A$2:$A$40,0))</f>
        <v>1.08</v>
      </c>
      <c r="J798" s="64" t="n">
        <v>2</v>
      </c>
    </row>
    <row r="799" customFormat="false" ht="15" hidden="false" customHeight="false" outlineLevel="0" collapsed="false">
      <c r="A799" s="70" t="n">
        <v>46313</v>
      </c>
      <c r="B799" s="64" t="s">
        <v>29</v>
      </c>
      <c r="C799" s="64" t="s">
        <v>108</v>
      </c>
      <c r="D799" s="64" t="s">
        <v>7</v>
      </c>
      <c r="E799" s="64" t="s">
        <v>20</v>
      </c>
      <c r="F799" s="71" t="n">
        <f aca="false">Menu!E439</f>
        <v>150</v>
      </c>
      <c r="G799" s="64" t="s">
        <v>15</v>
      </c>
      <c r="H799" s="66" t="n">
        <f aca="false">F799/INDEX(Valeurs!$B$2:$B$40,MATCH(E799,Valeurs!$A$2:$A$40,0))*INDEX(Valeurs!$D$2:$D$40,MATCH(E799,Valeurs!$A$2:$A$40,0))</f>
        <v>27</v>
      </c>
      <c r="I799" s="72" t="n">
        <f aca="false">F799/INDEX(Valeurs!$B$2:$B$40,MATCH(E799,Valeurs!$A$2:$A$40,0))*INDEX(Valeurs!$E$2:$E$40,MATCH(E799,Valeurs!$A$2:$A$40,0))</f>
        <v>1.35</v>
      </c>
      <c r="J799" s="64" t="n">
        <v>2</v>
      </c>
    </row>
    <row r="800" customFormat="false" ht="15" hidden="false" customHeight="false" outlineLevel="0" collapsed="false">
      <c r="A800" s="70" t="n">
        <v>46313</v>
      </c>
      <c r="B800" s="64" t="s">
        <v>29</v>
      </c>
      <c r="C800" s="64" t="s">
        <v>108</v>
      </c>
      <c r="D800" s="64" t="s">
        <v>6</v>
      </c>
      <c r="E800" s="64" t="s">
        <v>46</v>
      </c>
      <c r="F800" s="71" t="n">
        <f aca="false">Menu!D440</f>
        <v>40</v>
      </c>
      <c r="G800" s="64" t="s">
        <v>15</v>
      </c>
      <c r="H800" s="66" t="n">
        <f aca="false">F800/INDEX(Valeurs!$B$2:$B$40,MATCH(E800,Valeurs!$A$2:$A$40,0))*INDEX(Valeurs!$D$2:$D$40,MATCH(E800,Valeurs!$A$2:$A$40,0))</f>
        <v>6</v>
      </c>
      <c r="I800" s="72" t="n">
        <f aca="false">F800/INDEX(Valeurs!$B$2:$B$40,MATCH(E800,Valeurs!$A$2:$A$40,0))*INDEX(Valeurs!$E$2:$E$40,MATCH(E800,Valeurs!$A$2:$A$40,0))</f>
        <v>0.56</v>
      </c>
      <c r="J800" s="64" t="n">
        <v>2</v>
      </c>
    </row>
    <row r="801" customFormat="false" ht="15" hidden="false" customHeight="false" outlineLevel="0" collapsed="false">
      <c r="A801" s="70" t="n">
        <v>46313</v>
      </c>
      <c r="B801" s="64" t="s">
        <v>29</v>
      </c>
      <c r="C801" s="64" t="s">
        <v>108</v>
      </c>
      <c r="D801" s="64" t="s">
        <v>7</v>
      </c>
      <c r="E801" s="64" t="s">
        <v>46</v>
      </c>
      <c r="F801" s="71" t="n">
        <f aca="false">Menu!E440</f>
        <v>60</v>
      </c>
      <c r="G801" s="64" t="s">
        <v>15</v>
      </c>
      <c r="H801" s="66" t="n">
        <f aca="false">F801/INDEX(Valeurs!$B$2:$B$40,MATCH(E801,Valeurs!$A$2:$A$40,0))*INDEX(Valeurs!$D$2:$D$40,MATCH(E801,Valeurs!$A$2:$A$40,0))</f>
        <v>9</v>
      </c>
      <c r="I801" s="72" t="n">
        <f aca="false">F801/INDEX(Valeurs!$B$2:$B$40,MATCH(E801,Valeurs!$A$2:$A$40,0))*INDEX(Valeurs!$E$2:$E$40,MATCH(E801,Valeurs!$A$2:$A$40,0))</f>
        <v>0.84</v>
      </c>
      <c r="J801" s="64" t="n">
        <v>2</v>
      </c>
    </row>
    <row r="802" customFormat="false" ht="15" hidden="false" customHeight="false" outlineLevel="0" collapsed="false">
      <c r="A802" s="70" t="n">
        <v>46313</v>
      </c>
      <c r="B802" s="64" t="s">
        <v>29</v>
      </c>
      <c r="C802" s="64" t="s">
        <v>108</v>
      </c>
      <c r="D802" s="64" t="s">
        <v>6</v>
      </c>
      <c r="E802" s="64" t="s">
        <v>44</v>
      </c>
      <c r="F802" s="71" t="n">
        <f aca="false">Menu!D441</f>
        <v>60</v>
      </c>
      <c r="G802" s="64" t="s">
        <v>15</v>
      </c>
      <c r="H802" s="66" t="n">
        <f aca="false">F802/INDEX(Valeurs!$B$2:$B$40,MATCH(E802,Valeurs!$A$2:$A$40,0))*INDEX(Valeurs!$D$2:$D$40,MATCH(E802,Valeurs!$A$2:$A$40,0))</f>
        <v>24.6</v>
      </c>
      <c r="I802" s="72" t="n">
        <f aca="false">F802/INDEX(Valeurs!$B$2:$B$40,MATCH(E802,Valeurs!$A$2:$A$40,0))*INDEX(Valeurs!$E$2:$E$40,MATCH(E802,Valeurs!$A$2:$A$40,0))</f>
        <v>0.54</v>
      </c>
      <c r="J802" s="64" t="n">
        <v>2</v>
      </c>
    </row>
    <row r="803" customFormat="false" ht="15" hidden="false" customHeight="false" outlineLevel="0" collapsed="false">
      <c r="A803" s="70" t="n">
        <v>46313</v>
      </c>
      <c r="B803" s="64" t="s">
        <v>29</v>
      </c>
      <c r="C803" s="64" t="s">
        <v>108</v>
      </c>
      <c r="D803" s="64" t="s">
        <v>7</v>
      </c>
      <c r="E803" s="64" t="s">
        <v>44</v>
      </c>
      <c r="F803" s="71" t="n">
        <f aca="false">Menu!E441</f>
        <v>80</v>
      </c>
      <c r="G803" s="64" t="s">
        <v>15</v>
      </c>
      <c r="H803" s="66" t="n">
        <f aca="false">F803/INDEX(Valeurs!$B$2:$B$40,MATCH(E803,Valeurs!$A$2:$A$40,0))*INDEX(Valeurs!$D$2:$D$40,MATCH(E803,Valeurs!$A$2:$A$40,0))</f>
        <v>32.8</v>
      </c>
      <c r="I803" s="72" t="n">
        <f aca="false">F803/INDEX(Valeurs!$B$2:$B$40,MATCH(E803,Valeurs!$A$2:$A$40,0))*INDEX(Valeurs!$E$2:$E$40,MATCH(E803,Valeurs!$A$2:$A$40,0))</f>
        <v>0.72</v>
      </c>
      <c r="J803" s="64" t="n">
        <v>2</v>
      </c>
    </row>
    <row r="804" customFormat="false" ht="15" hidden="false" customHeight="false" outlineLevel="0" collapsed="false">
      <c r="A804" s="70" t="n">
        <v>46313</v>
      </c>
      <c r="B804" s="64" t="s">
        <v>29</v>
      </c>
      <c r="C804" s="64" t="s">
        <v>108</v>
      </c>
      <c r="D804" s="64" t="s">
        <v>6</v>
      </c>
      <c r="E804" s="64" t="s">
        <v>26</v>
      </c>
      <c r="F804" s="71" t="n">
        <f aca="false">Menu!D442</f>
        <v>240</v>
      </c>
      <c r="G804" s="64" t="s">
        <v>15</v>
      </c>
      <c r="H804" s="66" t="n">
        <f aca="false">F804/INDEX(Valeurs!$B$2:$B$40,MATCH(E804,Valeurs!$A$2:$A$40,0))*INDEX(Valeurs!$D$2:$D$40,MATCH(E804,Valeurs!$A$2:$A$40,0))</f>
        <v>192</v>
      </c>
      <c r="I804" s="72" t="n">
        <f aca="false">F804/INDEX(Valeurs!$B$2:$B$40,MATCH(E804,Valeurs!$A$2:$A$40,0))*INDEX(Valeurs!$E$2:$E$40,MATCH(E804,Valeurs!$A$2:$A$40,0))</f>
        <v>4.8</v>
      </c>
      <c r="J804" s="64" t="n">
        <v>2</v>
      </c>
    </row>
    <row r="805" customFormat="false" ht="15" hidden="false" customHeight="false" outlineLevel="0" collapsed="false">
      <c r="A805" s="70" t="n">
        <v>46313</v>
      </c>
      <c r="B805" s="64" t="s">
        <v>29</v>
      </c>
      <c r="C805" s="64" t="s">
        <v>108</v>
      </c>
      <c r="D805" s="64" t="s">
        <v>7</v>
      </c>
      <c r="E805" s="64" t="s">
        <v>26</v>
      </c>
      <c r="F805" s="71" t="n">
        <f aca="false">Menu!E442</f>
        <v>90</v>
      </c>
      <c r="G805" s="64" t="s">
        <v>15</v>
      </c>
      <c r="H805" s="66" t="n">
        <f aca="false">F805/INDEX(Valeurs!$B$2:$B$40,MATCH(E805,Valeurs!$A$2:$A$40,0))*INDEX(Valeurs!$D$2:$D$40,MATCH(E805,Valeurs!$A$2:$A$40,0))</f>
        <v>72</v>
      </c>
      <c r="I805" s="72" t="n">
        <f aca="false">F805/INDEX(Valeurs!$B$2:$B$40,MATCH(E805,Valeurs!$A$2:$A$40,0))*INDEX(Valeurs!$E$2:$E$40,MATCH(E805,Valeurs!$A$2:$A$40,0))</f>
        <v>1.8</v>
      </c>
      <c r="J805" s="64" t="n">
        <v>2</v>
      </c>
    </row>
    <row r="806" customFormat="false" ht="15" hidden="false" customHeight="false" outlineLevel="0" collapsed="false">
      <c r="A806" s="70" t="n">
        <v>46313</v>
      </c>
      <c r="B806" s="64" t="s">
        <v>29</v>
      </c>
      <c r="C806" s="64" t="s">
        <v>108</v>
      </c>
      <c r="D806" s="64" t="s">
        <v>6</v>
      </c>
      <c r="E806" s="64" t="s">
        <v>28</v>
      </c>
      <c r="F806" s="71" t="n">
        <f aca="false">Menu!D443</f>
        <v>8</v>
      </c>
      <c r="G806" s="64" t="s">
        <v>15</v>
      </c>
      <c r="H806" s="66" t="n">
        <f aca="false">F806/INDEX(Valeurs!$B$2:$B$40,MATCH(E806,Valeurs!$A$2:$A$40,0))*INDEX(Valeurs!$D$2:$D$40,MATCH(E806,Valeurs!$A$2:$A$40,0))</f>
        <v>72</v>
      </c>
      <c r="I806" s="72" t="n">
        <f aca="false">F806/INDEX(Valeurs!$B$2:$B$40,MATCH(E806,Valeurs!$A$2:$A$40,0))*INDEX(Valeurs!$E$2:$E$40,MATCH(E806,Valeurs!$A$2:$A$40,0))</f>
        <v>0</v>
      </c>
      <c r="J806" s="64" t="n">
        <v>2</v>
      </c>
    </row>
    <row r="807" customFormat="false" ht="15" hidden="false" customHeight="false" outlineLevel="0" collapsed="false">
      <c r="A807" s="70" t="n">
        <v>46313</v>
      </c>
      <c r="B807" s="64" t="s">
        <v>29</v>
      </c>
      <c r="C807" s="64" t="s">
        <v>108</v>
      </c>
      <c r="D807" s="64" t="s">
        <v>7</v>
      </c>
      <c r="E807" s="64" t="s">
        <v>28</v>
      </c>
      <c r="F807" s="71" t="n">
        <f aca="false">Menu!E443</f>
        <v>6</v>
      </c>
      <c r="G807" s="64" t="s">
        <v>15</v>
      </c>
      <c r="H807" s="66" t="n">
        <f aca="false">F807/INDEX(Valeurs!$B$2:$B$40,MATCH(E807,Valeurs!$A$2:$A$40,0))*INDEX(Valeurs!$D$2:$D$40,MATCH(E807,Valeurs!$A$2:$A$40,0))</f>
        <v>54</v>
      </c>
      <c r="I807" s="72" t="n">
        <f aca="false">F807/INDEX(Valeurs!$B$2:$B$40,MATCH(E807,Valeurs!$A$2:$A$40,0))*INDEX(Valeurs!$E$2:$E$40,MATCH(E807,Valeurs!$A$2:$A$40,0))</f>
        <v>0</v>
      </c>
      <c r="J807" s="64" t="n">
        <v>2</v>
      </c>
    </row>
    <row r="808" customFormat="false" ht="15" hidden="false" customHeight="false" outlineLevel="0" collapsed="false">
      <c r="A808" s="70" t="n">
        <v>46313</v>
      </c>
      <c r="B808" s="64" t="s">
        <v>36</v>
      </c>
      <c r="C808" s="64" t="s">
        <v>59</v>
      </c>
      <c r="D808" s="64" t="s">
        <v>6</v>
      </c>
      <c r="E808" s="64" t="s">
        <v>59</v>
      </c>
      <c r="F808" s="71" t="n">
        <f aca="false">Menu!D444</f>
        <v>75</v>
      </c>
      <c r="G808" s="64" t="s">
        <v>15</v>
      </c>
      <c r="H808" s="66" t="n">
        <f aca="false">F808/INDEX(Valeurs!$B$2:$B$40,MATCH(E808,Valeurs!$A$2:$A$40,0))*INDEX(Valeurs!$D$2:$D$40,MATCH(E808,Valeurs!$A$2:$A$40,0))</f>
        <v>150</v>
      </c>
      <c r="I808" s="72" t="n">
        <f aca="false">F808/INDEX(Valeurs!$B$2:$B$40,MATCH(E808,Valeurs!$A$2:$A$40,0))*INDEX(Valeurs!$E$2:$E$40,MATCH(E808,Valeurs!$A$2:$A$40,0))</f>
        <v>2.625</v>
      </c>
      <c r="J808" s="64" t="n">
        <v>2</v>
      </c>
    </row>
    <row r="809" customFormat="false" ht="15" hidden="false" customHeight="false" outlineLevel="0" collapsed="false">
      <c r="A809" s="70" t="n">
        <v>46313</v>
      </c>
      <c r="B809" s="64" t="s">
        <v>36</v>
      </c>
      <c r="C809" s="64" t="s">
        <v>59</v>
      </c>
      <c r="D809" s="64" t="s">
        <v>7</v>
      </c>
      <c r="E809" s="64" t="s">
        <v>59</v>
      </c>
      <c r="F809" s="71" t="n">
        <f aca="false">Menu!E444</f>
        <v>55</v>
      </c>
      <c r="G809" s="64" t="s">
        <v>15</v>
      </c>
      <c r="H809" s="66" t="n">
        <f aca="false">F809/INDEX(Valeurs!$B$2:$B$40,MATCH(E809,Valeurs!$A$2:$A$40,0))*INDEX(Valeurs!$D$2:$D$40,MATCH(E809,Valeurs!$A$2:$A$40,0))</f>
        <v>110</v>
      </c>
      <c r="I809" s="72" t="n">
        <f aca="false">F809/INDEX(Valeurs!$B$2:$B$40,MATCH(E809,Valeurs!$A$2:$A$40,0))*INDEX(Valeurs!$E$2:$E$40,MATCH(E809,Valeurs!$A$2:$A$40,0))</f>
        <v>1.925</v>
      </c>
      <c r="J809" s="64" t="n">
        <v>2</v>
      </c>
    </row>
    <row r="810" customFormat="false" ht="15" hidden="false" customHeight="false" outlineLevel="0" collapsed="false">
      <c r="A810" s="70" t="n">
        <v>46314</v>
      </c>
      <c r="B810" s="64" t="s">
        <v>10</v>
      </c>
      <c r="C810" s="64" t="s">
        <v>11</v>
      </c>
      <c r="D810" s="64" t="s">
        <v>6</v>
      </c>
      <c r="E810" s="64" t="s">
        <v>12</v>
      </c>
      <c r="F810" s="71" t="n">
        <f aca="false">Menu!D447</f>
        <v>250</v>
      </c>
      <c r="G810" s="64" t="s">
        <v>13</v>
      </c>
      <c r="H810" s="66" t="n">
        <f aca="false">F810/INDEX(Valeurs!$B$2:$B$40,MATCH(E810,Valeurs!$A$2:$A$40,0))*INDEX(Valeurs!$D$2:$D$40,MATCH(E810,Valeurs!$A$2:$A$40,0))</f>
        <v>115</v>
      </c>
      <c r="I810" s="72" t="n">
        <f aca="false">F810/INDEX(Valeurs!$B$2:$B$40,MATCH(E810,Valeurs!$A$2:$A$40,0))*INDEX(Valeurs!$E$2:$E$40,MATCH(E810,Valeurs!$A$2:$A$40,0))</f>
        <v>8.25</v>
      </c>
      <c r="J810" s="64" t="n">
        <v>2</v>
      </c>
    </row>
    <row r="811" customFormat="false" ht="15" hidden="false" customHeight="false" outlineLevel="0" collapsed="false">
      <c r="A811" s="70" t="n">
        <v>46314</v>
      </c>
      <c r="B811" s="64" t="s">
        <v>10</v>
      </c>
      <c r="C811" s="64" t="s">
        <v>11</v>
      </c>
      <c r="D811" s="64" t="s">
        <v>7</v>
      </c>
      <c r="E811" s="64" t="s">
        <v>12</v>
      </c>
      <c r="F811" s="71" t="n">
        <f aca="false">Menu!E447</f>
        <v>0</v>
      </c>
      <c r="G811" s="64" t="s">
        <v>13</v>
      </c>
      <c r="H811" s="66" t="n">
        <f aca="false">F811/INDEX(Valeurs!$B$2:$B$40,MATCH(E811,Valeurs!$A$2:$A$40,0))*INDEX(Valeurs!$D$2:$D$40,MATCH(E811,Valeurs!$A$2:$A$40,0))</f>
        <v>0</v>
      </c>
      <c r="I811" s="72" t="n">
        <f aca="false">F811/INDEX(Valeurs!$B$2:$B$40,MATCH(E811,Valeurs!$A$2:$A$40,0))*INDEX(Valeurs!$E$2:$E$40,MATCH(E811,Valeurs!$A$2:$A$40,0))</f>
        <v>0</v>
      </c>
      <c r="J811" s="64" t="n">
        <v>2</v>
      </c>
    </row>
    <row r="812" customFormat="false" ht="15" hidden="false" customHeight="false" outlineLevel="0" collapsed="false">
      <c r="A812" s="70" t="n">
        <v>46314</v>
      </c>
      <c r="B812" s="64" t="s">
        <v>10</v>
      </c>
      <c r="C812" s="64" t="s">
        <v>11</v>
      </c>
      <c r="D812" s="64" t="s">
        <v>6</v>
      </c>
      <c r="E812" s="64" t="s">
        <v>14</v>
      </c>
      <c r="F812" s="71" t="n">
        <f aca="false">Menu!D448</f>
        <v>100</v>
      </c>
      <c r="G812" s="64" t="s">
        <v>15</v>
      </c>
      <c r="H812" s="66" t="n">
        <f aca="false">F812/INDEX(Valeurs!$B$2:$B$40,MATCH(E812,Valeurs!$A$2:$A$40,0))*INDEX(Valeurs!$D$2:$D$40,MATCH(E812,Valeurs!$A$2:$A$40,0))</f>
        <v>90</v>
      </c>
      <c r="I812" s="72" t="n">
        <f aca="false">F812/INDEX(Valeurs!$B$2:$B$40,MATCH(E812,Valeurs!$A$2:$A$40,0))*INDEX(Valeurs!$E$2:$E$40,MATCH(E812,Valeurs!$A$2:$A$40,0))</f>
        <v>1.1</v>
      </c>
      <c r="J812" s="64" t="n">
        <v>2</v>
      </c>
    </row>
    <row r="813" customFormat="false" ht="15" hidden="false" customHeight="false" outlineLevel="0" collapsed="false">
      <c r="A813" s="70" t="n">
        <v>46314</v>
      </c>
      <c r="B813" s="64" t="s">
        <v>10</v>
      </c>
      <c r="C813" s="64" t="s">
        <v>11</v>
      </c>
      <c r="D813" s="64" t="s">
        <v>7</v>
      </c>
      <c r="E813" s="64" t="s">
        <v>14</v>
      </c>
      <c r="F813" s="71" t="n">
        <f aca="false">Menu!E448</f>
        <v>0</v>
      </c>
      <c r="G813" s="64" t="s">
        <v>15</v>
      </c>
      <c r="H813" s="66" t="n">
        <f aca="false">F813/INDEX(Valeurs!$B$2:$B$40,MATCH(E813,Valeurs!$A$2:$A$40,0))*INDEX(Valeurs!$D$2:$D$40,MATCH(E813,Valeurs!$A$2:$A$40,0))</f>
        <v>0</v>
      </c>
      <c r="I813" s="72" t="n">
        <f aca="false">F813/INDEX(Valeurs!$B$2:$B$40,MATCH(E813,Valeurs!$A$2:$A$40,0))*INDEX(Valeurs!$E$2:$E$40,MATCH(E813,Valeurs!$A$2:$A$40,0))</f>
        <v>0</v>
      </c>
      <c r="J813" s="64" t="n">
        <v>2</v>
      </c>
    </row>
    <row r="814" customFormat="false" ht="15" hidden="false" customHeight="false" outlineLevel="0" collapsed="false">
      <c r="A814" s="70" t="n">
        <v>46314</v>
      </c>
      <c r="B814" s="64" t="s">
        <v>10</v>
      </c>
      <c r="C814" s="64" t="s">
        <v>11</v>
      </c>
      <c r="D814" s="64" t="s">
        <v>6</v>
      </c>
      <c r="E814" s="64" t="s">
        <v>16</v>
      </c>
      <c r="F814" s="71" t="n">
        <f aca="false">Menu!D449</f>
        <v>65</v>
      </c>
      <c r="G814" s="64" t="s">
        <v>15</v>
      </c>
      <c r="H814" s="66" t="n">
        <f aca="false">F814/INDEX(Valeurs!$B$2:$B$40,MATCH(E814,Valeurs!$A$2:$A$40,0))*INDEX(Valeurs!$D$2:$D$40,MATCH(E814,Valeurs!$A$2:$A$40,0))</f>
        <v>241.8</v>
      </c>
      <c r="I814" s="72" t="n">
        <f aca="false">F814/INDEX(Valeurs!$B$2:$B$40,MATCH(E814,Valeurs!$A$2:$A$40,0))*INDEX(Valeurs!$E$2:$E$40,MATCH(E814,Valeurs!$A$2:$A$40,0))</f>
        <v>8.775</v>
      </c>
      <c r="J814" s="64" t="n">
        <v>2</v>
      </c>
    </row>
    <row r="815" customFormat="false" ht="15" hidden="false" customHeight="false" outlineLevel="0" collapsed="false">
      <c r="A815" s="70" t="n">
        <v>46314</v>
      </c>
      <c r="B815" s="64" t="s">
        <v>10</v>
      </c>
      <c r="C815" s="64" t="s">
        <v>11</v>
      </c>
      <c r="D815" s="64" t="s">
        <v>7</v>
      </c>
      <c r="E815" s="64" t="s">
        <v>16</v>
      </c>
      <c r="F815" s="71" t="n">
        <f aca="false">Menu!E449</f>
        <v>0</v>
      </c>
      <c r="G815" s="64" t="s">
        <v>15</v>
      </c>
      <c r="H815" s="66" t="n">
        <f aca="false">F815/INDEX(Valeurs!$B$2:$B$40,MATCH(E815,Valeurs!$A$2:$A$40,0))*INDEX(Valeurs!$D$2:$D$40,MATCH(E815,Valeurs!$A$2:$A$40,0))</f>
        <v>0</v>
      </c>
      <c r="I815" s="72" t="n">
        <f aca="false">F815/INDEX(Valeurs!$B$2:$B$40,MATCH(E815,Valeurs!$A$2:$A$40,0))*INDEX(Valeurs!$E$2:$E$40,MATCH(E815,Valeurs!$A$2:$A$40,0))</f>
        <v>0</v>
      </c>
      <c r="J815" s="64" t="n">
        <v>2</v>
      </c>
    </row>
    <row r="816" customFormat="false" ht="15" hidden="false" customHeight="false" outlineLevel="0" collapsed="false">
      <c r="A816" s="70" t="n">
        <v>46314</v>
      </c>
      <c r="B816" s="64" t="s">
        <v>10</v>
      </c>
      <c r="C816" s="64" t="s">
        <v>11</v>
      </c>
      <c r="D816" s="64" t="s">
        <v>6</v>
      </c>
      <c r="E816" s="64" t="s">
        <v>17</v>
      </c>
      <c r="F816" s="71" t="n">
        <f aca="false">Menu!D450</f>
        <v>1</v>
      </c>
      <c r="G816" s="64" t="s">
        <v>171</v>
      </c>
      <c r="H816" s="66" t="n">
        <f aca="false">F816/INDEX(Valeurs!$B$2:$B$40,MATCH(E816,Valeurs!$A$2:$A$40,0))*INDEX(Valeurs!$D$2:$D$40,MATCH(E816,Valeurs!$A$2:$A$40,0))</f>
        <v>87</v>
      </c>
      <c r="I816" s="72" t="n">
        <f aca="false">F816/INDEX(Valeurs!$B$2:$B$40,MATCH(E816,Valeurs!$A$2:$A$40,0))*INDEX(Valeurs!$E$2:$E$40,MATCH(E816,Valeurs!$A$2:$A$40,0))</f>
        <v>7.5</v>
      </c>
      <c r="J816" s="64" t="n">
        <v>2</v>
      </c>
    </row>
    <row r="817" customFormat="false" ht="15" hidden="false" customHeight="false" outlineLevel="0" collapsed="false">
      <c r="A817" s="70" t="n">
        <v>46314</v>
      </c>
      <c r="B817" s="64" t="s">
        <v>10</v>
      </c>
      <c r="C817" s="64" t="s">
        <v>11</v>
      </c>
      <c r="D817" s="64" t="s">
        <v>7</v>
      </c>
      <c r="E817" s="64" t="s">
        <v>17</v>
      </c>
      <c r="F817" s="71" t="n">
        <f aca="false">Menu!E450</f>
        <v>2</v>
      </c>
      <c r="G817" s="64" t="s">
        <v>171</v>
      </c>
      <c r="H817" s="66" t="n">
        <f aca="false">F817/INDEX(Valeurs!$B$2:$B$40,MATCH(E817,Valeurs!$A$2:$A$40,0))*INDEX(Valeurs!$D$2:$D$40,MATCH(E817,Valeurs!$A$2:$A$40,0))</f>
        <v>174</v>
      </c>
      <c r="I817" s="72" t="n">
        <f aca="false">F817/INDEX(Valeurs!$B$2:$B$40,MATCH(E817,Valeurs!$A$2:$A$40,0))*INDEX(Valeurs!$E$2:$E$40,MATCH(E817,Valeurs!$A$2:$A$40,0))</f>
        <v>15</v>
      </c>
      <c r="J817" s="64" t="n">
        <v>2</v>
      </c>
    </row>
    <row r="818" customFormat="false" ht="15" hidden="false" customHeight="false" outlineLevel="0" collapsed="false">
      <c r="A818" s="70" t="n">
        <v>46314</v>
      </c>
      <c r="B818" s="64" t="s">
        <v>10</v>
      </c>
      <c r="C818" s="64" t="s">
        <v>11</v>
      </c>
      <c r="D818" s="64" t="s">
        <v>6</v>
      </c>
      <c r="E818" s="64" t="s">
        <v>19</v>
      </c>
      <c r="F818" s="71" t="n">
        <f aca="false">Menu!D451</f>
        <v>0</v>
      </c>
      <c r="G818" s="64" t="s">
        <v>15</v>
      </c>
      <c r="H818" s="66" t="n">
        <f aca="false">F818/INDEX(Valeurs!$B$2:$B$40,MATCH(E818,Valeurs!$A$2:$A$40,0))*INDEX(Valeurs!$D$2:$D$40,MATCH(E818,Valeurs!$A$2:$A$40,0))</f>
        <v>0</v>
      </c>
      <c r="I818" s="72" t="n">
        <f aca="false">F818/INDEX(Valeurs!$B$2:$B$40,MATCH(E818,Valeurs!$A$2:$A$40,0))*INDEX(Valeurs!$E$2:$E$40,MATCH(E818,Valeurs!$A$2:$A$40,0))</f>
        <v>0</v>
      </c>
      <c r="J818" s="64" t="n">
        <v>2</v>
      </c>
    </row>
    <row r="819" customFormat="false" ht="15" hidden="false" customHeight="false" outlineLevel="0" collapsed="false">
      <c r="A819" s="70" t="n">
        <v>46314</v>
      </c>
      <c r="B819" s="64" t="s">
        <v>10</v>
      </c>
      <c r="C819" s="64" t="s">
        <v>11</v>
      </c>
      <c r="D819" s="64" t="s">
        <v>7</v>
      </c>
      <c r="E819" s="64" t="s">
        <v>19</v>
      </c>
      <c r="F819" s="71" t="n">
        <f aca="false">Menu!E451</f>
        <v>30</v>
      </c>
      <c r="G819" s="64" t="s">
        <v>15</v>
      </c>
      <c r="H819" s="66" t="n">
        <f aca="false">F819/INDEX(Valeurs!$B$2:$B$40,MATCH(E819,Valeurs!$A$2:$A$40,0))*INDEX(Valeurs!$D$2:$D$40,MATCH(E819,Valeurs!$A$2:$A$40,0))</f>
        <v>33</v>
      </c>
      <c r="I819" s="72" t="n">
        <f aca="false">F819/INDEX(Valeurs!$B$2:$B$40,MATCH(E819,Valeurs!$A$2:$A$40,0))*INDEX(Valeurs!$E$2:$E$40,MATCH(E819,Valeurs!$A$2:$A$40,0))</f>
        <v>6</v>
      </c>
      <c r="J819" s="64" t="n">
        <v>2</v>
      </c>
    </row>
    <row r="820" customFormat="false" ht="15" hidden="false" customHeight="false" outlineLevel="0" collapsed="false">
      <c r="A820" s="70" t="n">
        <v>46314</v>
      </c>
      <c r="B820" s="64" t="s">
        <v>10</v>
      </c>
      <c r="C820" s="64" t="s">
        <v>11</v>
      </c>
      <c r="D820" s="64" t="s">
        <v>6</v>
      </c>
      <c r="E820" s="64" t="s">
        <v>20</v>
      </c>
      <c r="F820" s="71" t="n">
        <f aca="false">Menu!D452</f>
        <v>0</v>
      </c>
      <c r="G820" s="64" t="s">
        <v>15</v>
      </c>
      <c r="H820" s="66" t="n">
        <f aca="false">F820/INDEX(Valeurs!$B$2:$B$40,MATCH(E820,Valeurs!$A$2:$A$40,0))*INDEX(Valeurs!$D$2:$D$40,MATCH(E820,Valeurs!$A$2:$A$40,0))</f>
        <v>0</v>
      </c>
      <c r="I820" s="72" t="n">
        <f aca="false">F820/INDEX(Valeurs!$B$2:$B$40,MATCH(E820,Valeurs!$A$2:$A$40,0))*INDEX(Valeurs!$E$2:$E$40,MATCH(E820,Valeurs!$A$2:$A$40,0))</f>
        <v>0</v>
      </c>
      <c r="J820" s="64" t="n">
        <v>2</v>
      </c>
    </row>
    <row r="821" customFormat="false" ht="15" hidden="false" customHeight="false" outlineLevel="0" collapsed="false">
      <c r="A821" s="70" t="n">
        <v>46314</v>
      </c>
      <c r="B821" s="64" t="s">
        <v>10</v>
      </c>
      <c r="C821" s="64" t="s">
        <v>11</v>
      </c>
      <c r="D821" s="64" t="s">
        <v>7</v>
      </c>
      <c r="E821" s="64" t="s">
        <v>20</v>
      </c>
      <c r="F821" s="71" t="n">
        <f aca="false">Menu!E452</f>
        <v>80</v>
      </c>
      <c r="G821" s="64" t="s">
        <v>15</v>
      </c>
      <c r="H821" s="66" t="n">
        <f aca="false">F821/INDEX(Valeurs!$B$2:$B$40,MATCH(E821,Valeurs!$A$2:$A$40,0))*INDEX(Valeurs!$D$2:$D$40,MATCH(E821,Valeurs!$A$2:$A$40,0))</f>
        <v>14.4</v>
      </c>
      <c r="I821" s="72" t="n">
        <f aca="false">F821/INDEX(Valeurs!$B$2:$B$40,MATCH(E821,Valeurs!$A$2:$A$40,0))*INDEX(Valeurs!$E$2:$E$40,MATCH(E821,Valeurs!$A$2:$A$40,0))</f>
        <v>0.72</v>
      </c>
      <c r="J821" s="64" t="n">
        <v>2</v>
      </c>
    </row>
    <row r="822" customFormat="false" ht="15" hidden="false" customHeight="false" outlineLevel="0" collapsed="false">
      <c r="A822" s="70" t="n">
        <v>46314</v>
      </c>
      <c r="B822" s="64" t="s">
        <v>10</v>
      </c>
      <c r="C822" s="64" t="s">
        <v>11</v>
      </c>
      <c r="D822" s="64" t="s">
        <v>6</v>
      </c>
      <c r="E822" s="64" t="s">
        <v>21</v>
      </c>
      <c r="F822" s="71" t="n">
        <f aca="false">Menu!D453</f>
        <v>0</v>
      </c>
      <c r="G822" s="64" t="s">
        <v>15</v>
      </c>
      <c r="H822" s="66" t="n">
        <f aca="false">F822/INDEX(Valeurs!$B$2:$B$40,MATCH(E822,Valeurs!$A$2:$A$40,0))*INDEX(Valeurs!$D$2:$D$40,MATCH(E822,Valeurs!$A$2:$A$40,0))</f>
        <v>0</v>
      </c>
      <c r="I822" s="72" t="n">
        <f aca="false">F822/INDEX(Valeurs!$B$2:$B$40,MATCH(E822,Valeurs!$A$2:$A$40,0))*INDEX(Valeurs!$E$2:$E$40,MATCH(E822,Valeurs!$A$2:$A$40,0))</f>
        <v>0</v>
      </c>
      <c r="J822" s="64" t="n">
        <v>2</v>
      </c>
    </row>
    <row r="823" customFormat="false" ht="15" hidden="false" customHeight="false" outlineLevel="0" collapsed="false">
      <c r="A823" s="70" t="n">
        <v>46314</v>
      </c>
      <c r="B823" s="64" t="s">
        <v>10</v>
      </c>
      <c r="C823" s="64" t="s">
        <v>11</v>
      </c>
      <c r="D823" s="64" t="s">
        <v>7</v>
      </c>
      <c r="E823" s="64" t="s">
        <v>21</v>
      </c>
      <c r="F823" s="71" t="n">
        <f aca="false">Menu!E453</f>
        <v>40</v>
      </c>
      <c r="G823" s="64" t="s">
        <v>15</v>
      </c>
      <c r="H823" s="66" t="n">
        <f aca="false">F823/INDEX(Valeurs!$B$2:$B$40,MATCH(E823,Valeurs!$A$2:$A$40,0))*INDEX(Valeurs!$D$2:$D$40,MATCH(E823,Valeurs!$A$2:$A$40,0))</f>
        <v>96</v>
      </c>
      <c r="I823" s="72" t="n">
        <f aca="false">F823/INDEX(Valeurs!$B$2:$B$40,MATCH(E823,Valeurs!$A$2:$A$40,0))*INDEX(Valeurs!$E$2:$E$40,MATCH(E823,Valeurs!$A$2:$A$40,0))</f>
        <v>3.6</v>
      </c>
      <c r="J823" s="64" t="n">
        <v>2</v>
      </c>
    </row>
    <row r="824" customFormat="false" ht="15" hidden="false" customHeight="false" outlineLevel="0" collapsed="false">
      <c r="A824" s="70" t="n">
        <v>46314</v>
      </c>
      <c r="B824" s="64" t="s">
        <v>10</v>
      </c>
      <c r="C824" s="64" t="s">
        <v>11</v>
      </c>
      <c r="D824" s="64" t="s">
        <v>6</v>
      </c>
      <c r="E824" s="64" t="s">
        <v>22</v>
      </c>
      <c r="F824" s="71" t="n">
        <f aca="false">Menu!D454</f>
        <v>0</v>
      </c>
      <c r="G824" s="64" t="s">
        <v>15</v>
      </c>
      <c r="H824" s="66" t="n">
        <f aca="false">F824/INDEX(Valeurs!$B$2:$B$40,MATCH(E824,Valeurs!$A$2:$A$40,0))*INDEX(Valeurs!$D$2:$D$40,MATCH(E824,Valeurs!$A$2:$A$40,0))</f>
        <v>0</v>
      </c>
      <c r="I824" s="72" t="n">
        <f aca="false">F824/INDEX(Valeurs!$B$2:$B$40,MATCH(E824,Valeurs!$A$2:$A$40,0))*INDEX(Valeurs!$E$2:$E$40,MATCH(E824,Valeurs!$A$2:$A$40,0))</f>
        <v>0</v>
      </c>
      <c r="J824" s="64" t="n">
        <v>2</v>
      </c>
    </row>
    <row r="825" customFormat="false" ht="15" hidden="false" customHeight="false" outlineLevel="0" collapsed="false">
      <c r="A825" s="70" t="n">
        <v>46314</v>
      </c>
      <c r="B825" s="64" t="s">
        <v>10</v>
      </c>
      <c r="C825" s="64" t="s">
        <v>11</v>
      </c>
      <c r="D825" s="64" t="s">
        <v>7</v>
      </c>
      <c r="E825" s="64" t="s">
        <v>22</v>
      </c>
      <c r="F825" s="71" t="n">
        <f aca="false">Menu!E454</f>
        <v>150</v>
      </c>
      <c r="G825" s="64" t="s">
        <v>15</v>
      </c>
      <c r="H825" s="66" t="n">
        <f aca="false">F825/INDEX(Valeurs!$B$2:$B$40,MATCH(E825,Valeurs!$A$2:$A$40,0))*INDEX(Valeurs!$D$2:$D$40,MATCH(E825,Valeurs!$A$2:$A$40,0))</f>
        <v>78</v>
      </c>
      <c r="I825" s="72" t="n">
        <f aca="false">F825/INDEX(Valeurs!$B$2:$B$40,MATCH(E825,Valeurs!$A$2:$A$40,0))*INDEX(Valeurs!$E$2:$E$40,MATCH(E825,Valeurs!$A$2:$A$40,0))</f>
        <v>0.45</v>
      </c>
      <c r="J825" s="64" t="n">
        <v>2</v>
      </c>
    </row>
    <row r="826" customFormat="false" ht="15" hidden="false" customHeight="false" outlineLevel="0" collapsed="false">
      <c r="A826" s="70" t="n">
        <v>46314</v>
      </c>
      <c r="B826" s="64" t="s">
        <v>23</v>
      </c>
      <c r="C826" s="64" t="s">
        <v>61</v>
      </c>
      <c r="D826" s="64" t="s">
        <v>6</v>
      </c>
      <c r="E826" s="64" t="s">
        <v>25</v>
      </c>
      <c r="F826" s="71" t="n">
        <f aca="false">Menu!D455</f>
        <v>150</v>
      </c>
      <c r="G826" s="64" t="s">
        <v>15</v>
      </c>
      <c r="H826" s="66" t="n">
        <f aca="false">F826/INDEX(Valeurs!$B$2:$B$40,MATCH(E826,Valeurs!$A$2:$A$40,0))*INDEX(Valeurs!$D$2:$D$40,MATCH(E826,Valeurs!$A$2:$A$40,0))</f>
        <v>172.5</v>
      </c>
      <c r="I826" s="72" t="n">
        <f aca="false">F826/INDEX(Valeurs!$B$2:$B$40,MATCH(E826,Valeurs!$A$2:$A$40,0))*INDEX(Valeurs!$E$2:$E$40,MATCH(E826,Valeurs!$A$2:$A$40,0))</f>
        <v>34.5</v>
      </c>
      <c r="J826" s="64" t="n">
        <v>2</v>
      </c>
    </row>
    <row r="827" customFormat="false" ht="15" hidden="false" customHeight="false" outlineLevel="0" collapsed="false">
      <c r="A827" s="70" t="n">
        <v>46314</v>
      </c>
      <c r="B827" s="64" t="s">
        <v>23</v>
      </c>
      <c r="C827" s="64" t="s">
        <v>61</v>
      </c>
      <c r="D827" s="64" t="s">
        <v>7</v>
      </c>
      <c r="E827" s="64" t="s">
        <v>25</v>
      </c>
      <c r="F827" s="71" t="n">
        <f aca="false">Menu!E455</f>
        <v>120</v>
      </c>
      <c r="G827" s="64" t="s">
        <v>15</v>
      </c>
      <c r="H827" s="66" t="n">
        <f aca="false">F827/INDEX(Valeurs!$B$2:$B$40,MATCH(E827,Valeurs!$A$2:$A$40,0))*INDEX(Valeurs!$D$2:$D$40,MATCH(E827,Valeurs!$A$2:$A$40,0))</f>
        <v>138</v>
      </c>
      <c r="I827" s="72" t="n">
        <f aca="false">F827/INDEX(Valeurs!$B$2:$B$40,MATCH(E827,Valeurs!$A$2:$A$40,0))*INDEX(Valeurs!$E$2:$E$40,MATCH(E827,Valeurs!$A$2:$A$40,0))</f>
        <v>27.6</v>
      </c>
      <c r="J827" s="64" t="n">
        <v>2</v>
      </c>
    </row>
    <row r="828" customFormat="false" ht="15" hidden="false" customHeight="false" outlineLevel="0" collapsed="false">
      <c r="A828" s="70" t="n">
        <v>46314</v>
      </c>
      <c r="B828" s="64" t="s">
        <v>23</v>
      </c>
      <c r="C828" s="64" t="s">
        <v>61</v>
      </c>
      <c r="D828" s="64" t="s">
        <v>6</v>
      </c>
      <c r="E828" s="64" t="s">
        <v>32</v>
      </c>
      <c r="F828" s="71" t="n">
        <f aca="false">Menu!D456</f>
        <v>300</v>
      </c>
      <c r="G828" s="64" t="s">
        <v>15</v>
      </c>
      <c r="H828" s="66" t="n">
        <f aca="false">F828/INDEX(Valeurs!$B$2:$B$40,MATCH(E828,Valeurs!$A$2:$A$40,0))*INDEX(Valeurs!$D$2:$D$40,MATCH(E828,Valeurs!$A$2:$A$40,0))</f>
        <v>258</v>
      </c>
      <c r="I828" s="72" t="n">
        <f aca="false">F828/INDEX(Valeurs!$B$2:$B$40,MATCH(E828,Valeurs!$A$2:$A$40,0))*INDEX(Valeurs!$E$2:$E$40,MATCH(E828,Valeurs!$A$2:$A$40,0))</f>
        <v>4.8</v>
      </c>
      <c r="J828" s="64" t="n">
        <v>2</v>
      </c>
    </row>
    <row r="829" customFormat="false" ht="15" hidden="false" customHeight="false" outlineLevel="0" collapsed="false">
      <c r="A829" s="70" t="n">
        <v>46314</v>
      </c>
      <c r="B829" s="64" t="s">
        <v>23</v>
      </c>
      <c r="C829" s="64" t="s">
        <v>61</v>
      </c>
      <c r="D829" s="64" t="s">
        <v>7</v>
      </c>
      <c r="E829" s="64" t="s">
        <v>32</v>
      </c>
      <c r="F829" s="71" t="n">
        <f aca="false">Menu!E456</f>
        <v>140</v>
      </c>
      <c r="G829" s="64" t="s">
        <v>15</v>
      </c>
      <c r="H829" s="66" t="n">
        <f aca="false">F829/INDEX(Valeurs!$B$2:$B$40,MATCH(E829,Valeurs!$A$2:$A$40,0))*INDEX(Valeurs!$D$2:$D$40,MATCH(E829,Valeurs!$A$2:$A$40,0))</f>
        <v>120.4</v>
      </c>
      <c r="I829" s="72" t="n">
        <f aca="false">F829/INDEX(Valeurs!$B$2:$B$40,MATCH(E829,Valeurs!$A$2:$A$40,0))*INDEX(Valeurs!$E$2:$E$40,MATCH(E829,Valeurs!$A$2:$A$40,0))</f>
        <v>2.24</v>
      </c>
      <c r="J829" s="64" t="n">
        <v>2</v>
      </c>
    </row>
    <row r="830" customFormat="false" ht="15" hidden="false" customHeight="false" outlineLevel="0" collapsed="false">
      <c r="A830" s="70" t="n">
        <v>46314</v>
      </c>
      <c r="B830" s="64" t="s">
        <v>23</v>
      </c>
      <c r="C830" s="64" t="s">
        <v>61</v>
      </c>
      <c r="D830" s="64" t="s">
        <v>6</v>
      </c>
      <c r="E830" s="64" t="s">
        <v>27</v>
      </c>
      <c r="F830" s="71" t="n">
        <f aca="false">Menu!D457</f>
        <v>250</v>
      </c>
      <c r="G830" s="64" t="s">
        <v>15</v>
      </c>
      <c r="H830" s="66" t="n">
        <f aca="false">F830/INDEX(Valeurs!$B$2:$B$40,MATCH(E830,Valeurs!$A$2:$A$40,0))*INDEX(Valeurs!$D$2:$D$40,MATCH(E830,Valeurs!$A$2:$A$40,0))</f>
        <v>77.5</v>
      </c>
      <c r="I830" s="72" t="n">
        <f aca="false">F830/INDEX(Valeurs!$B$2:$B$40,MATCH(E830,Valeurs!$A$2:$A$40,0))*INDEX(Valeurs!$E$2:$E$40,MATCH(E830,Valeurs!$A$2:$A$40,0))</f>
        <v>4.5</v>
      </c>
      <c r="J830" s="64" t="n">
        <v>2</v>
      </c>
    </row>
    <row r="831" customFormat="false" ht="15" hidden="false" customHeight="false" outlineLevel="0" collapsed="false">
      <c r="A831" s="70" t="n">
        <v>46314</v>
      </c>
      <c r="B831" s="64" t="s">
        <v>23</v>
      </c>
      <c r="C831" s="64" t="s">
        <v>61</v>
      </c>
      <c r="D831" s="64" t="s">
        <v>7</v>
      </c>
      <c r="E831" s="64" t="s">
        <v>27</v>
      </c>
      <c r="F831" s="71" t="n">
        <f aca="false">Menu!E457</f>
        <v>280</v>
      </c>
      <c r="G831" s="64" t="s">
        <v>15</v>
      </c>
      <c r="H831" s="66" t="n">
        <f aca="false">F831/INDEX(Valeurs!$B$2:$B$40,MATCH(E831,Valeurs!$A$2:$A$40,0))*INDEX(Valeurs!$D$2:$D$40,MATCH(E831,Valeurs!$A$2:$A$40,0))</f>
        <v>86.8</v>
      </c>
      <c r="I831" s="72" t="n">
        <f aca="false">F831/INDEX(Valeurs!$B$2:$B$40,MATCH(E831,Valeurs!$A$2:$A$40,0))*INDEX(Valeurs!$E$2:$E$40,MATCH(E831,Valeurs!$A$2:$A$40,0))</f>
        <v>5.04</v>
      </c>
      <c r="J831" s="64" t="n">
        <v>2</v>
      </c>
    </row>
    <row r="832" customFormat="false" ht="15" hidden="false" customHeight="false" outlineLevel="0" collapsed="false">
      <c r="A832" s="70" t="n">
        <v>46314</v>
      </c>
      <c r="B832" s="64" t="s">
        <v>23</v>
      </c>
      <c r="C832" s="64" t="s">
        <v>61</v>
      </c>
      <c r="D832" s="64" t="s">
        <v>6</v>
      </c>
      <c r="E832" s="64" t="s">
        <v>28</v>
      </c>
      <c r="F832" s="71" t="n">
        <f aca="false">Menu!D458</f>
        <v>10</v>
      </c>
      <c r="G832" s="64" t="s">
        <v>15</v>
      </c>
      <c r="H832" s="66" t="n">
        <f aca="false">F832/INDEX(Valeurs!$B$2:$B$40,MATCH(E832,Valeurs!$A$2:$A$40,0))*INDEX(Valeurs!$D$2:$D$40,MATCH(E832,Valeurs!$A$2:$A$40,0))</f>
        <v>90</v>
      </c>
      <c r="I832" s="72" t="n">
        <f aca="false">F832/INDEX(Valeurs!$B$2:$B$40,MATCH(E832,Valeurs!$A$2:$A$40,0))*INDEX(Valeurs!$E$2:$E$40,MATCH(E832,Valeurs!$A$2:$A$40,0))</f>
        <v>0</v>
      </c>
      <c r="J832" s="64" t="n">
        <v>2</v>
      </c>
    </row>
    <row r="833" customFormat="false" ht="15" hidden="false" customHeight="false" outlineLevel="0" collapsed="false">
      <c r="A833" s="70" t="n">
        <v>46314</v>
      </c>
      <c r="B833" s="64" t="s">
        <v>23</v>
      </c>
      <c r="C833" s="64" t="s">
        <v>61</v>
      </c>
      <c r="D833" s="64" t="s">
        <v>7</v>
      </c>
      <c r="E833" s="64" t="s">
        <v>28</v>
      </c>
      <c r="F833" s="71" t="n">
        <f aca="false">Menu!E458</f>
        <v>7</v>
      </c>
      <c r="G833" s="64" t="s">
        <v>15</v>
      </c>
      <c r="H833" s="66" t="n">
        <f aca="false">F833/INDEX(Valeurs!$B$2:$B$40,MATCH(E833,Valeurs!$A$2:$A$40,0))*INDEX(Valeurs!$D$2:$D$40,MATCH(E833,Valeurs!$A$2:$A$40,0))</f>
        <v>63</v>
      </c>
      <c r="I833" s="72" t="n">
        <f aca="false">F833/INDEX(Valeurs!$B$2:$B$40,MATCH(E833,Valeurs!$A$2:$A$40,0))*INDEX(Valeurs!$E$2:$E$40,MATCH(E833,Valeurs!$A$2:$A$40,0))</f>
        <v>0</v>
      </c>
      <c r="J833" s="64" t="n">
        <v>2</v>
      </c>
    </row>
    <row r="834" customFormat="false" ht="15" hidden="false" customHeight="false" outlineLevel="0" collapsed="false">
      <c r="A834" s="70" t="n">
        <v>46314</v>
      </c>
      <c r="B834" s="64" t="s">
        <v>29</v>
      </c>
      <c r="C834" s="64" t="s">
        <v>110</v>
      </c>
      <c r="D834" s="64" t="s">
        <v>6</v>
      </c>
      <c r="E834" s="64" t="s">
        <v>31</v>
      </c>
      <c r="F834" s="71" t="n">
        <f aca="false">Menu!D459</f>
        <v>150</v>
      </c>
      <c r="G834" s="64" t="s">
        <v>15</v>
      </c>
      <c r="H834" s="66" t="n">
        <f aca="false">F834/INDEX(Valeurs!$B$2:$B$40,MATCH(E834,Valeurs!$A$2:$A$40,0))*INDEX(Valeurs!$D$2:$D$40,MATCH(E834,Valeurs!$A$2:$A$40,0))</f>
        <v>120</v>
      </c>
      <c r="I834" s="72" t="n">
        <f aca="false">F834/INDEX(Valeurs!$B$2:$B$40,MATCH(E834,Valeurs!$A$2:$A$40,0))*INDEX(Valeurs!$E$2:$E$40,MATCH(E834,Valeurs!$A$2:$A$40,0))</f>
        <v>25.5</v>
      </c>
      <c r="J834" s="64" t="n">
        <v>2</v>
      </c>
    </row>
    <row r="835" customFormat="false" ht="15" hidden="false" customHeight="false" outlineLevel="0" collapsed="false">
      <c r="A835" s="70" t="n">
        <v>46314</v>
      </c>
      <c r="B835" s="64" t="s">
        <v>29</v>
      </c>
      <c r="C835" s="64" t="s">
        <v>110</v>
      </c>
      <c r="D835" s="64" t="s">
        <v>7</v>
      </c>
      <c r="E835" s="64" t="s">
        <v>31</v>
      </c>
      <c r="F835" s="71" t="n">
        <f aca="false">Menu!E459</f>
        <v>125</v>
      </c>
      <c r="G835" s="64" t="s">
        <v>15</v>
      </c>
      <c r="H835" s="66" t="n">
        <f aca="false">F835/INDEX(Valeurs!$B$2:$B$40,MATCH(E835,Valeurs!$A$2:$A$40,0))*INDEX(Valeurs!$D$2:$D$40,MATCH(E835,Valeurs!$A$2:$A$40,0))</f>
        <v>100</v>
      </c>
      <c r="I835" s="72" t="n">
        <f aca="false">F835/INDEX(Valeurs!$B$2:$B$40,MATCH(E835,Valeurs!$A$2:$A$40,0))*INDEX(Valeurs!$E$2:$E$40,MATCH(E835,Valeurs!$A$2:$A$40,0))</f>
        <v>21.25</v>
      </c>
      <c r="J835" s="64" t="n">
        <v>2</v>
      </c>
    </row>
    <row r="836" customFormat="false" ht="15" hidden="false" customHeight="false" outlineLevel="0" collapsed="false">
      <c r="A836" s="70" t="n">
        <v>46314</v>
      </c>
      <c r="B836" s="64" t="s">
        <v>29</v>
      </c>
      <c r="C836" s="64" t="s">
        <v>110</v>
      </c>
      <c r="D836" s="64" t="s">
        <v>6</v>
      </c>
      <c r="E836" s="64" t="s">
        <v>67</v>
      </c>
      <c r="F836" s="71" t="n">
        <f aca="false">Menu!D460</f>
        <v>80</v>
      </c>
      <c r="G836" s="64" t="s">
        <v>15</v>
      </c>
      <c r="H836" s="66" t="n">
        <f aca="false">F836/INDEX(Valeurs!$B$2:$B$40,MATCH(E836,Valeurs!$A$2:$A$40,0))*INDEX(Valeurs!$D$2:$D$40,MATCH(E836,Valeurs!$A$2:$A$40,0))</f>
        <v>17.6</v>
      </c>
      <c r="I836" s="72" t="n">
        <f aca="false">F836/INDEX(Valeurs!$B$2:$B$40,MATCH(E836,Valeurs!$A$2:$A$40,0))*INDEX(Valeurs!$E$2:$E$40,MATCH(E836,Valeurs!$A$2:$A$40,0))</f>
        <v>2.48</v>
      </c>
      <c r="J836" s="64" t="n">
        <v>2</v>
      </c>
    </row>
    <row r="837" customFormat="false" ht="15" hidden="false" customHeight="false" outlineLevel="0" collapsed="false">
      <c r="A837" s="70" t="n">
        <v>46314</v>
      </c>
      <c r="B837" s="64" t="s">
        <v>29</v>
      </c>
      <c r="C837" s="64" t="s">
        <v>110</v>
      </c>
      <c r="D837" s="64" t="s">
        <v>7</v>
      </c>
      <c r="E837" s="64" t="s">
        <v>67</v>
      </c>
      <c r="F837" s="71" t="n">
        <f aca="false">Menu!E460</f>
        <v>100</v>
      </c>
      <c r="G837" s="64" t="s">
        <v>15</v>
      </c>
      <c r="H837" s="66" t="n">
        <f aca="false">F837/INDEX(Valeurs!$B$2:$B$40,MATCH(E837,Valeurs!$A$2:$A$40,0))*INDEX(Valeurs!$D$2:$D$40,MATCH(E837,Valeurs!$A$2:$A$40,0))</f>
        <v>22</v>
      </c>
      <c r="I837" s="72" t="n">
        <f aca="false">F837/INDEX(Valeurs!$B$2:$B$40,MATCH(E837,Valeurs!$A$2:$A$40,0))*INDEX(Valeurs!$E$2:$E$40,MATCH(E837,Valeurs!$A$2:$A$40,0))</f>
        <v>3.1</v>
      </c>
      <c r="J837" s="64" t="n">
        <v>2</v>
      </c>
    </row>
    <row r="838" customFormat="false" ht="15" hidden="false" customHeight="false" outlineLevel="0" collapsed="false">
      <c r="A838" s="70" t="n">
        <v>46314</v>
      </c>
      <c r="B838" s="64" t="s">
        <v>29</v>
      </c>
      <c r="C838" s="64" t="s">
        <v>110</v>
      </c>
      <c r="D838" s="64" t="s">
        <v>6</v>
      </c>
      <c r="E838" s="64" t="s">
        <v>26</v>
      </c>
      <c r="F838" s="71" t="n">
        <f aca="false">Menu!D461</f>
        <v>300</v>
      </c>
      <c r="G838" s="64" t="s">
        <v>15</v>
      </c>
      <c r="H838" s="66" t="n">
        <f aca="false">F838/INDEX(Valeurs!$B$2:$B$40,MATCH(E838,Valeurs!$A$2:$A$40,0))*INDEX(Valeurs!$D$2:$D$40,MATCH(E838,Valeurs!$A$2:$A$40,0))</f>
        <v>240</v>
      </c>
      <c r="I838" s="72" t="n">
        <f aca="false">F838/INDEX(Valeurs!$B$2:$B$40,MATCH(E838,Valeurs!$A$2:$A$40,0))*INDEX(Valeurs!$E$2:$E$40,MATCH(E838,Valeurs!$A$2:$A$40,0))</f>
        <v>6</v>
      </c>
      <c r="J838" s="64" t="n">
        <v>2</v>
      </c>
    </row>
    <row r="839" customFormat="false" ht="15" hidden="false" customHeight="false" outlineLevel="0" collapsed="false">
      <c r="A839" s="70" t="n">
        <v>46314</v>
      </c>
      <c r="B839" s="64" t="s">
        <v>29</v>
      </c>
      <c r="C839" s="64" t="s">
        <v>110</v>
      </c>
      <c r="D839" s="64" t="s">
        <v>7</v>
      </c>
      <c r="E839" s="64" t="s">
        <v>26</v>
      </c>
      <c r="F839" s="71" t="n">
        <f aca="false">Menu!E461</f>
        <v>140</v>
      </c>
      <c r="G839" s="64" t="s">
        <v>15</v>
      </c>
      <c r="H839" s="66" t="n">
        <f aca="false">F839/INDEX(Valeurs!$B$2:$B$40,MATCH(E839,Valeurs!$A$2:$A$40,0))*INDEX(Valeurs!$D$2:$D$40,MATCH(E839,Valeurs!$A$2:$A$40,0))</f>
        <v>112</v>
      </c>
      <c r="I839" s="72" t="n">
        <f aca="false">F839/INDEX(Valeurs!$B$2:$B$40,MATCH(E839,Valeurs!$A$2:$A$40,0))*INDEX(Valeurs!$E$2:$E$40,MATCH(E839,Valeurs!$A$2:$A$40,0))</f>
        <v>2.8</v>
      </c>
      <c r="J839" s="64" t="n">
        <v>2</v>
      </c>
    </row>
    <row r="840" customFormat="false" ht="15" hidden="false" customHeight="false" outlineLevel="0" collapsed="false">
      <c r="A840" s="70" t="n">
        <v>46314</v>
      </c>
      <c r="B840" s="64" t="s">
        <v>29</v>
      </c>
      <c r="C840" s="64" t="s">
        <v>110</v>
      </c>
      <c r="D840" s="64" t="s">
        <v>6</v>
      </c>
      <c r="E840" s="64" t="s">
        <v>20</v>
      </c>
      <c r="F840" s="71" t="n">
        <f aca="false">Menu!D462</f>
        <v>100</v>
      </c>
      <c r="G840" s="64" t="s">
        <v>15</v>
      </c>
      <c r="H840" s="66" t="n">
        <f aca="false">F840/INDEX(Valeurs!$B$2:$B$40,MATCH(E840,Valeurs!$A$2:$A$40,0))*INDEX(Valeurs!$D$2:$D$40,MATCH(E840,Valeurs!$A$2:$A$40,0))</f>
        <v>18</v>
      </c>
      <c r="I840" s="72" t="n">
        <f aca="false">F840/INDEX(Valeurs!$B$2:$B$40,MATCH(E840,Valeurs!$A$2:$A$40,0))*INDEX(Valeurs!$E$2:$E$40,MATCH(E840,Valeurs!$A$2:$A$40,0))</f>
        <v>0.9</v>
      </c>
      <c r="J840" s="64" t="n">
        <v>2</v>
      </c>
    </row>
    <row r="841" customFormat="false" ht="15" hidden="false" customHeight="false" outlineLevel="0" collapsed="false">
      <c r="A841" s="70" t="n">
        <v>46314</v>
      </c>
      <c r="B841" s="64" t="s">
        <v>29</v>
      </c>
      <c r="C841" s="64" t="s">
        <v>110</v>
      </c>
      <c r="D841" s="64" t="s">
        <v>7</v>
      </c>
      <c r="E841" s="64" t="s">
        <v>20</v>
      </c>
      <c r="F841" s="71" t="n">
        <f aca="false">Menu!E462</f>
        <v>120</v>
      </c>
      <c r="G841" s="64" t="s">
        <v>15</v>
      </c>
      <c r="H841" s="66" t="n">
        <f aca="false">F841/INDEX(Valeurs!$B$2:$B$40,MATCH(E841,Valeurs!$A$2:$A$40,0))*INDEX(Valeurs!$D$2:$D$40,MATCH(E841,Valeurs!$A$2:$A$40,0))</f>
        <v>21.6</v>
      </c>
      <c r="I841" s="72" t="n">
        <f aca="false">F841/INDEX(Valeurs!$B$2:$B$40,MATCH(E841,Valeurs!$A$2:$A$40,0))*INDEX(Valeurs!$E$2:$E$40,MATCH(E841,Valeurs!$A$2:$A$40,0))</f>
        <v>1.08</v>
      </c>
      <c r="J841" s="64" t="n">
        <v>2</v>
      </c>
    </row>
    <row r="842" customFormat="false" ht="15" hidden="false" customHeight="false" outlineLevel="0" collapsed="false">
      <c r="A842" s="70" t="n">
        <v>46314</v>
      </c>
      <c r="B842" s="64" t="s">
        <v>29</v>
      </c>
      <c r="C842" s="64" t="s">
        <v>110</v>
      </c>
      <c r="D842" s="64" t="s">
        <v>6</v>
      </c>
      <c r="E842" s="64" t="s">
        <v>28</v>
      </c>
      <c r="F842" s="71" t="n">
        <f aca="false">Menu!D463</f>
        <v>10</v>
      </c>
      <c r="G842" s="64" t="s">
        <v>15</v>
      </c>
      <c r="H842" s="66" t="n">
        <f aca="false">F842/INDEX(Valeurs!$B$2:$B$40,MATCH(E842,Valeurs!$A$2:$A$40,0))*INDEX(Valeurs!$D$2:$D$40,MATCH(E842,Valeurs!$A$2:$A$40,0))</f>
        <v>90</v>
      </c>
      <c r="I842" s="72" t="n">
        <f aca="false">F842/INDEX(Valeurs!$B$2:$B$40,MATCH(E842,Valeurs!$A$2:$A$40,0))*INDEX(Valeurs!$E$2:$E$40,MATCH(E842,Valeurs!$A$2:$A$40,0))</f>
        <v>0</v>
      </c>
      <c r="J842" s="64" t="n">
        <v>2</v>
      </c>
    </row>
    <row r="843" customFormat="false" ht="15" hidden="false" customHeight="false" outlineLevel="0" collapsed="false">
      <c r="A843" s="70" t="n">
        <v>46314</v>
      </c>
      <c r="B843" s="64" t="s">
        <v>29</v>
      </c>
      <c r="C843" s="64" t="s">
        <v>110</v>
      </c>
      <c r="D843" s="64" t="s">
        <v>7</v>
      </c>
      <c r="E843" s="64" t="s">
        <v>28</v>
      </c>
      <c r="F843" s="71" t="n">
        <f aca="false">Menu!E463</f>
        <v>7</v>
      </c>
      <c r="G843" s="64" t="s">
        <v>15</v>
      </c>
      <c r="H843" s="66" t="n">
        <f aca="false">F843/INDEX(Valeurs!$B$2:$B$40,MATCH(E843,Valeurs!$A$2:$A$40,0))*INDEX(Valeurs!$D$2:$D$40,MATCH(E843,Valeurs!$A$2:$A$40,0))</f>
        <v>63</v>
      </c>
      <c r="I843" s="72" t="n">
        <f aca="false">F843/INDEX(Valeurs!$B$2:$B$40,MATCH(E843,Valeurs!$A$2:$A$40,0))*INDEX(Valeurs!$E$2:$E$40,MATCH(E843,Valeurs!$A$2:$A$40,0))</f>
        <v>0</v>
      </c>
      <c r="J843" s="64" t="n">
        <v>2</v>
      </c>
    </row>
    <row r="844" customFormat="false" ht="15" hidden="false" customHeight="false" outlineLevel="0" collapsed="false">
      <c r="A844" s="70" t="n">
        <v>46314</v>
      </c>
      <c r="B844" s="64" t="s">
        <v>36</v>
      </c>
      <c r="C844" s="64" t="s">
        <v>37</v>
      </c>
      <c r="D844" s="64" t="s">
        <v>6</v>
      </c>
      <c r="E844" s="64" t="s">
        <v>38</v>
      </c>
      <c r="F844" s="71" t="n">
        <f aca="false">Menu!D464</f>
        <v>125</v>
      </c>
      <c r="G844" s="64" t="s">
        <v>15</v>
      </c>
      <c r="H844" s="66" t="n">
        <f aca="false">F844/INDEX(Valeurs!$B$2:$B$40,MATCH(E844,Valeurs!$A$2:$A$40,0))*INDEX(Valeurs!$D$2:$D$40,MATCH(E844,Valeurs!$A$2:$A$40,0))</f>
        <v>75</v>
      </c>
      <c r="I844" s="72" t="n">
        <f aca="false">F844/INDEX(Valeurs!$B$2:$B$40,MATCH(E844,Valeurs!$A$2:$A$40,0))*INDEX(Valeurs!$E$2:$E$40,MATCH(E844,Valeurs!$A$2:$A$40,0))</f>
        <v>5.625</v>
      </c>
      <c r="J844" s="64" t="n">
        <v>2</v>
      </c>
    </row>
    <row r="845" customFormat="false" ht="15" hidden="false" customHeight="false" outlineLevel="0" collapsed="false">
      <c r="A845" s="70" t="n">
        <v>46314</v>
      </c>
      <c r="B845" s="64" t="s">
        <v>36</v>
      </c>
      <c r="C845" s="64" t="s">
        <v>37</v>
      </c>
      <c r="D845" s="64" t="s">
        <v>7</v>
      </c>
      <c r="E845" s="64" t="s">
        <v>38</v>
      </c>
      <c r="F845" s="71" t="n">
        <f aca="false">Menu!E464</f>
        <v>125</v>
      </c>
      <c r="G845" s="64" t="s">
        <v>15</v>
      </c>
      <c r="H845" s="66" t="n">
        <f aca="false">F845/INDEX(Valeurs!$B$2:$B$40,MATCH(E845,Valeurs!$A$2:$A$40,0))*INDEX(Valeurs!$D$2:$D$40,MATCH(E845,Valeurs!$A$2:$A$40,0))</f>
        <v>75</v>
      </c>
      <c r="I845" s="72" t="n">
        <f aca="false">F845/INDEX(Valeurs!$B$2:$B$40,MATCH(E845,Valeurs!$A$2:$A$40,0))*INDEX(Valeurs!$E$2:$E$40,MATCH(E845,Valeurs!$A$2:$A$40,0))</f>
        <v>5.625</v>
      </c>
      <c r="J845" s="64" t="n">
        <v>2</v>
      </c>
    </row>
    <row r="846" customFormat="false" ht="15" hidden="false" customHeight="false" outlineLevel="0" collapsed="false">
      <c r="A846" s="70" t="n">
        <v>46314</v>
      </c>
      <c r="B846" s="64" t="s">
        <v>36</v>
      </c>
      <c r="C846" s="64" t="s">
        <v>37</v>
      </c>
      <c r="D846" s="64" t="s">
        <v>6</v>
      </c>
      <c r="E846" s="64" t="s">
        <v>39</v>
      </c>
      <c r="F846" s="71" t="n">
        <f aca="false">Menu!D465</f>
        <v>10</v>
      </c>
      <c r="G846" s="64" t="s">
        <v>15</v>
      </c>
      <c r="H846" s="66" t="n">
        <f aca="false">F846/INDEX(Valeurs!$B$2:$B$40,MATCH(E846,Valeurs!$A$2:$A$40,0))*INDEX(Valeurs!$D$2:$D$40,MATCH(E846,Valeurs!$A$2:$A$40,0))</f>
        <v>58</v>
      </c>
      <c r="I846" s="72" t="n">
        <f aca="false">F846/INDEX(Valeurs!$B$2:$B$40,MATCH(E846,Valeurs!$A$2:$A$40,0))*INDEX(Valeurs!$E$2:$E$40,MATCH(E846,Valeurs!$A$2:$A$40,0))</f>
        <v>0.75</v>
      </c>
      <c r="J846" s="64" t="n">
        <v>2</v>
      </c>
    </row>
    <row r="847" customFormat="false" ht="15" hidden="false" customHeight="false" outlineLevel="0" collapsed="false">
      <c r="A847" s="70" t="n">
        <v>46314</v>
      </c>
      <c r="B847" s="64" t="s">
        <v>36</v>
      </c>
      <c r="C847" s="64" t="s">
        <v>37</v>
      </c>
      <c r="D847" s="64" t="s">
        <v>7</v>
      </c>
      <c r="E847" s="64" t="s">
        <v>39</v>
      </c>
      <c r="F847" s="71" t="n">
        <f aca="false">Menu!E465</f>
        <v>10</v>
      </c>
      <c r="G847" s="64" t="s">
        <v>15</v>
      </c>
      <c r="H847" s="66" t="n">
        <f aca="false">F847/INDEX(Valeurs!$B$2:$B$40,MATCH(E847,Valeurs!$A$2:$A$40,0))*INDEX(Valeurs!$D$2:$D$40,MATCH(E847,Valeurs!$A$2:$A$40,0))</f>
        <v>58</v>
      </c>
      <c r="I847" s="72" t="n">
        <f aca="false">F847/INDEX(Valeurs!$B$2:$B$40,MATCH(E847,Valeurs!$A$2:$A$40,0))*INDEX(Valeurs!$E$2:$E$40,MATCH(E847,Valeurs!$A$2:$A$40,0))</f>
        <v>0.75</v>
      </c>
      <c r="J847" s="64" t="n">
        <v>2</v>
      </c>
    </row>
    <row r="848" customFormat="false" ht="15" hidden="false" customHeight="false" outlineLevel="0" collapsed="false">
      <c r="A848" s="70" t="n">
        <v>46315</v>
      </c>
      <c r="B848" s="64" t="s">
        <v>10</v>
      </c>
      <c r="C848" s="64" t="s">
        <v>11</v>
      </c>
      <c r="D848" s="64" t="s">
        <v>6</v>
      </c>
      <c r="E848" s="64" t="s">
        <v>12</v>
      </c>
      <c r="F848" s="71" t="n">
        <f aca="false">Menu!D468</f>
        <v>250</v>
      </c>
      <c r="G848" s="64" t="s">
        <v>13</v>
      </c>
      <c r="H848" s="66" t="n">
        <f aca="false">F848/INDEX(Valeurs!$B$2:$B$40,MATCH(E848,Valeurs!$A$2:$A$40,0))*INDEX(Valeurs!$D$2:$D$40,MATCH(E848,Valeurs!$A$2:$A$40,0))</f>
        <v>115</v>
      </c>
      <c r="I848" s="72" t="n">
        <f aca="false">F848/INDEX(Valeurs!$B$2:$B$40,MATCH(E848,Valeurs!$A$2:$A$40,0))*INDEX(Valeurs!$E$2:$E$40,MATCH(E848,Valeurs!$A$2:$A$40,0))</f>
        <v>8.25</v>
      </c>
      <c r="J848" s="64" t="n">
        <v>2</v>
      </c>
    </row>
    <row r="849" customFormat="false" ht="15" hidden="false" customHeight="false" outlineLevel="0" collapsed="false">
      <c r="A849" s="70" t="n">
        <v>46315</v>
      </c>
      <c r="B849" s="64" t="s">
        <v>10</v>
      </c>
      <c r="C849" s="64" t="s">
        <v>11</v>
      </c>
      <c r="D849" s="64" t="s">
        <v>7</v>
      </c>
      <c r="E849" s="64" t="s">
        <v>12</v>
      </c>
      <c r="F849" s="71" t="n">
        <f aca="false">Menu!E468</f>
        <v>0</v>
      </c>
      <c r="G849" s="64" t="s">
        <v>13</v>
      </c>
      <c r="H849" s="66" t="n">
        <f aca="false">F849/INDEX(Valeurs!$B$2:$B$40,MATCH(E849,Valeurs!$A$2:$A$40,0))*INDEX(Valeurs!$D$2:$D$40,MATCH(E849,Valeurs!$A$2:$A$40,0))</f>
        <v>0</v>
      </c>
      <c r="I849" s="72" t="n">
        <f aca="false">F849/INDEX(Valeurs!$B$2:$B$40,MATCH(E849,Valeurs!$A$2:$A$40,0))*INDEX(Valeurs!$E$2:$E$40,MATCH(E849,Valeurs!$A$2:$A$40,0))</f>
        <v>0</v>
      </c>
      <c r="J849" s="64" t="n">
        <v>2</v>
      </c>
    </row>
    <row r="850" customFormat="false" ht="15" hidden="false" customHeight="false" outlineLevel="0" collapsed="false">
      <c r="A850" s="70" t="n">
        <v>46315</v>
      </c>
      <c r="B850" s="64" t="s">
        <v>10</v>
      </c>
      <c r="C850" s="64" t="s">
        <v>11</v>
      </c>
      <c r="D850" s="64" t="s">
        <v>6</v>
      </c>
      <c r="E850" s="64" t="s">
        <v>14</v>
      </c>
      <c r="F850" s="71" t="n">
        <f aca="false">Menu!D469</f>
        <v>100</v>
      </c>
      <c r="G850" s="64" t="s">
        <v>15</v>
      </c>
      <c r="H850" s="66" t="n">
        <f aca="false">F850/INDEX(Valeurs!$B$2:$B$40,MATCH(E850,Valeurs!$A$2:$A$40,0))*INDEX(Valeurs!$D$2:$D$40,MATCH(E850,Valeurs!$A$2:$A$40,0))</f>
        <v>90</v>
      </c>
      <c r="I850" s="72" t="n">
        <f aca="false">F850/INDEX(Valeurs!$B$2:$B$40,MATCH(E850,Valeurs!$A$2:$A$40,0))*INDEX(Valeurs!$E$2:$E$40,MATCH(E850,Valeurs!$A$2:$A$40,0))</f>
        <v>1.1</v>
      </c>
      <c r="J850" s="64" t="n">
        <v>2</v>
      </c>
    </row>
    <row r="851" customFormat="false" ht="15" hidden="false" customHeight="false" outlineLevel="0" collapsed="false">
      <c r="A851" s="70" t="n">
        <v>46315</v>
      </c>
      <c r="B851" s="64" t="s">
        <v>10</v>
      </c>
      <c r="C851" s="64" t="s">
        <v>11</v>
      </c>
      <c r="D851" s="64" t="s">
        <v>7</v>
      </c>
      <c r="E851" s="64" t="s">
        <v>14</v>
      </c>
      <c r="F851" s="71" t="n">
        <f aca="false">Menu!E469</f>
        <v>0</v>
      </c>
      <c r="G851" s="64" t="s">
        <v>15</v>
      </c>
      <c r="H851" s="66" t="n">
        <f aca="false">F851/INDEX(Valeurs!$B$2:$B$40,MATCH(E851,Valeurs!$A$2:$A$40,0))*INDEX(Valeurs!$D$2:$D$40,MATCH(E851,Valeurs!$A$2:$A$40,0))</f>
        <v>0</v>
      </c>
      <c r="I851" s="72" t="n">
        <f aca="false">F851/INDEX(Valeurs!$B$2:$B$40,MATCH(E851,Valeurs!$A$2:$A$40,0))*INDEX(Valeurs!$E$2:$E$40,MATCH(E851,Valeurs!$A$2:$A$40,0))</f>
        <v>0</v>
      </c>
      <c r="J851" s="64" t="n">
        <v>2</v>
      </c>
    </row>
    <row r="852" customFormat="false" ht="15" hidden="false" customHeight="false" outlineLevel="0" collapsed="false">
      <c r="A852" s="70" t="n">
        <v>46315</v>
      </c>
      <c r="B852" s="64" t="s">
        <v>10</v>
      </c>
      <c r="C852" s="64" t="s">
        <v>11</v>
      </c>
      <c r="D852" s="64" t="s">
        <v>6</v>
      </c>
      <c r="E852" s="64" t="s">
        <v>16</v>
      </c>
      <c r="F852" s="71" t="n">
        <f aca="false">Menu!D470</f>
        <v>65</v>
      </c>
      <c r="G852" s="64" t="s">
        <v>15</v>
      </c>
      <c r="H852" s="66" t="n">
        <f aca="false">F852/INDEX(Valeurs!$B$2:$B$40,MATCH(E852,Valeurs!$A$2:$A$40,0))*INDEX(Valeurs!$D$2:$D$40,MATCH(E852,Valeurs!$A$2:$A$40,0))</f>
        <v>241.8</v>
      </c>
      <c r="I852" s="72" t="n">
        <f aca="false">F852/INDEX(Valeurs!$B$2:$B$40,MATCH(E852,Valeurs!$A$2:$A$40,0))*INDEX(Valeurs!$E$2:$E$40,MATCH(E852,Valeurs!$A$2:$A$40,0))</f>
        <v>8.775</v>
      </c>
      <c r="J852" s="64" t="n">
        <v>2</v>
      </c>
    </row>
    <row r="853" customFormat="false" ht="15" hidden="false" customHeight="false" outlineLevel="0" collapsed="false">
      <c r="A853" s="70" t="n">
        <v>46315</v>
      </c>
      <c r="B853" s="64" t="s">
        <v>10</v>
      </c>
      <c r="C853" s="64" t="s">
        <v>11</v>
      </c>
      <c r="D853" s="64" t="s">
        <v>7</v>
      </c>
      <c r="E853" s="64" t="s">
        <v>16</v>
      </c>
      <c r="F853" s="71" t="n">
        <f aca="false">Menu!E470</f>
        <v>0</v>
      </c>
      <c r="G853" s="64" t="s">
        <v>15</v>
      </c>
      <c r="H853" s="66" t="n">
        <f aca="false">F853/INDEX(Valeurs!$B$2:$B$40,MATCH(E853,Valeurs!$A$2:$A$40,0))*INDEX(Valeurs!$D$2:$D$40,MATCH(E853,Valeurs!$A$2:$A$40,0))</f>
        <v>0</v>
      </c>
      <c r="I853" s="72" t="n">
        <f aca="false">F853/INDEX(Valeurs!$B$2:$B$40,MATCH(E853,Valeurs!$A$2:$A$40,0))*INDEX(Valeurs!$E$2:$E$40,MATCH(E853,Valeurs!$A$2:$A$40,0))</f>
        <v>0</v>
      </c>
      <c r="J853" s="64" t="n">
        <v>2</v>
      </c>
    </row>
    <row r="854" customFormat="false" ht="15" hidden="false" customHeight="false" outlineLevel="0" collapsed="false">
      <c r="A854" s="70" t="n">
        <v>46315</v>
      </c>
      <c r="B854" s="64" t="s">
        <v>10</v>
      </c>
      <c r="C854" s="64" t="s">
        <v>11</v>
      </c>
      <c r="D854" s="64" t="s">
        <v>6</v>
      </c>
      <c r="E854" s="64" t="s">
        <v>17</v>
      </c>
      <c r="F854" s="71" t="n">
        <f aca="false">Menu!D471</f>
        <v>1</v>
      </c>
      <c r="G854" s="64" t="s">
        <v>171</v>
      </c>
      <c r="H854" s="66" t="n">
        <f aca="false">F854/INDEX(Valeurs!$B$2:$B$40,MATCH(E854,Valeurs!$A$2:$A$40,0))*INDEX(Valeurs!$D$2:$D$40,MATCH(E854,Valeurs!$A$2:$A$40,0))</f>
        <v>87</v>
      </c>
      <c r="I854" s="72" t="n">
        <f aca="false">F854/INDEX(Valeurs!$B$2:$B$40,MATCH(E854,Valeurs!$A$2:$A$40,0))*INDEX(Valeurs!$E$2:$E$40,MATCH(E854,Valeurs!$A$2:$A$40,0))</f>
        <v>7.5</v>
      </c>
      <c r="J854" s="64" t="n">
        <v>2</v>
      </c>
    </row>
    <row r="855" customFormat="false" ht="15" hidden="false" customHeight="false" outlineLevel="0" collapsed="false">
      <c r="A855" s="70" t="n">
        <v>46315</v>
      </c>
      <c r="B855" s="64" t="s">
        <v>10</v>
      </c>
      <c r="C855" s="64" t="s">
        <v>11</v>
      </c>
      <c r="D855" s="64" t="s">
        <v>7</v>
      </c>
      <c r="E855" s="64" t="s">
        <v>17</v>
      </c>
      <c r="F855" s="71" t="n">
        <f aca="false">Menu!E471</f>
        <v>2</v>
      </c>
      <c r="G855" s="64" t="s">
        <v>171</v>
      </c>
      <c r="H855" s="66" t="n">
        <f aca="false">F855/INDEX(Valeurs!$B$2:$B$40,MATCH(E855,Valeurs!$A$2:$A$40,0))*INDEX(Valeurs!$D$2:$D$40,MATCH(E855,Valeurs!$A$2:$A$40,0))</f>
        <v>174</v>
      </c>
      <c r="I855" s="72" t="n">
        <f aca="false">F855/INDEX(Valeurs!$B$2:$B$40,MATCH(E855,Valeurs!$A$2:$A$40,0))*INDEX(Valeurs!$E$2:$E$40,MATCH(E855,Valeurs!$A$2:$A$40,0))</f>
        <v>15</v>
      </c>
      <c r="J855" s="64" t="n">
        <v>2</v>
      </c>
    </row>
    <row r="856" customFormat="false" ht="15" hidden="false" customHeight="false" outlineLevel="0" collapsed="false">
      <c r="A856" s="70" t="n">
        <v>46315</v>
      </c>
      <c r="B856" s="64" t="s">
        <v>10</v>
      </c>
      <c r="C856" s="64" t="s">
        <v>11</v>
      </c>
      <c r="D856" s="64" t="s">
        <v>6</v>
      </c>
      <c r="E856" s="64" t="s">
        <v>19</v>
      </c>
      <c r="F856" s="71" t="n">
        <f aca="false">Menu!D472</f>
        <v>0</v>
      </c>
      <c r="G856" s="64" t="s">
        <v>15</v>
      </c>
      <c r="H856" s="66" t="n">
        <f aca="false">F856/INDEX(Valeurs!$B$2:$B$40,MATCH(E856,Valeurs!$A$2:$A$40,0))*INDEX(Valeurs!$D$2:$D$40,MATCH(E856,Valeurs!$A$2:$A$40,0))</f>
        <v>0</v>
      </c>
      <c r="I856" s="72" t="n">
        <f aca="false">F856/INDEX(Valeurs!$B$2:$B$40,MATCH(E856,Valeurs!$A$2:$A$40,0))*INDEX(Valeurs!$E$2:$E$40,MATCH(E856,Valeurs!$A$2:$A$40,0))</f>
        <v>0</v>
      </c>
      <c r="J856" s="64" t="n">
        <v>2</v>
      </c>
    </row>
    <row r="857" customFormat="false" ht="15" hidden="false" customHeight="false" outlineLevel="0" collapsed="false">
      <c r="A857" s="70" t="n">
        <v>46315</v>
      </c>
      <c r="B857" s="64" t="s">
        <v>10</v>
      </c>
      <c r="C857" s="64" t="s">
        <v>11</v>
      </c>
      <c r="D857" s="64" t="s">
        <v>7</v>
      </c>
      <c r="E857" s="64" t="s">
        <v>19</v>
      </c>
      <c r="F857" s="71" t="n">
        <f aca="false">Menu!E472</f>
        <v>30</v>
      </c>
      <c r="G857" s="64" t="s">
        <v>15</v>
      </c>
      <c r="H857" s="66" t="n">
        <f aca="false">F857/INDEX(Valeurs!$B$2:$B$40,MATCH(E857,Valeurs!$A$2:$A$40,0))*INDEX(Valeurs!$D$2:$D$40,MATCH(E857,Valeurs!$A$2:$A$40,0))</f>
        <v>33</v>
      </c>
      <c r="I857" s="72" t="n">
        <f aca="false">F857/INDEX(Valeurs!$B$2:$B$40,MATCH(E857,Valeurs!$A$2:$A$40,0))*INDEX(Valeurs!$E$2:$E$40,MATCH(E857,Valeurs!$A$2:$A$40,0))</f>
        <v>6</v>
      </c>
      <c r="J857" s="64" t="n">
        <v>2</v>
      </c>
    </row>
    <row r="858" customFormat="false" ht="15" hidden="false" customHeight="false" outlineLevel="0" collapsed="false">
      <c r="A858" s="70" t="n">
        <v>46315</v>
      </c>
      <c r="B858" s="64" t="s">
        <v>10</v>
      </c>
      <c r="C858" s="64" t="s">
        <v>11</v>
      </c>
      <c r="D858" s="64" t="s">
        <v>6</v>
      </c>
      <c r="E858" s="64" t="s">
        <v>20</v>
      </c>
      <c r="F858" s="71" t="n">
        <f aca="false">Menu!D473</f>
        <v>0</v>
      </c>
      <c r="G858" s="64" t="s">
        <v>15</v>
      </c>
      <c r="H858" s="66" t="n">
        <f aca="false">F858/INDEX(Valeurs!$B$2:$B$40,MATCH(E858,Valeurs!$A$2:$A$40,0))*INDEX(Valeurs!$D$2:$D$40,MATCH(E858,Valeurs!$A$2:$A$40,0))</f>
        <v>0</v>
      </c>
      <c r="I858" s="72" t="n">
        <f aca="false">F858/INDEX(Valeurs!$B$2:$B$40,MATCH(E858,Valeurs!$A$2:$A$40,0))*INDEX(Valeurs!$E$2:$E$40,MATCH(E858,Valeurs!$A$2:$A$40,0))</f>
        <v>0</v>
      </c>
      <c r="J858" s="64" t="n">
        <v>2</v>
      </c>
    </row>
    <row r="859" customFormat="false" ht="15" hidden="false" customHeight="false" outlineLevel="0" collapsed="false">
      <c r="A859" s="70" t="n">
        <v>46315</v>
      </c>
      <c r="B859" s="64" t="s">
        <v>10</v>
      </c>
      <c r="C859" s="64" t="s">
        <v>11</v>
      </c>
      <c r="D859" s="64" t="s">
        <v>7</v>
      </c>
      <c r="E859" s="64" t="s">
        <v>20</v>
      </c>
      <c r="F859" s="71" t="n">
        <f aca="false">Menu!E473</f>
        <v>80</v>
      </c>
      <c r="G859" s="64" t="s">
        <v>15</v>
      </c>
      <c r="H859" s="66" t="n">
        <f aca="false">F859/INDEX(Valeurs!$B$2:$B$40,MATCH(E859,Valeurs!$A$2:$A$40,0))*INDEX(Valeurs!$D$2:$D$40,MATCH(E859,Valeurs!$A$2:$A$40,0))</f>
        <v>14.4</v>
      </c>
      <c r="I859" s="72" t="n">
        <f aca="false">F859/INDEX(Valeurs!$B$2:$B$40,MATCH(E859,Valeurs!$A$2:$A$40,0))*INDEX(Valeurs!$E$2:$E$40,MATCH(E859,Valeurs!$A$2:$A$40,0))</f>
        <v>0.72</v>
      </c>
      <c r="J859" s="64" t="n">
        <v>2</v>
      </c>
    </row>
    <row r="860" customFormat="false" ht="15" hidden="false" customHeight="false" outlineLevel="0" collapsed="false">
      <c r="A860" s="70" t="n">
        <v>46315</v>
      </c>
      <c r="B860" s="64" t="s">
        <v>10</v>
      </c>
      <c r="C860" s="64" t="s">
        <v>11</v>
      </c>
      <c r="D860" s="64" t="s">
        <v>6</v>
      </c>
      <c r="E860" s="64" t="s">
        <v>21</v>
      </c>
      <c r="F860" s="71" t="n">
        <f aca="false">Menu!D474</f>
        <v>0</v>
      </c>
      <c r="G860" s="64" t="s">
        <v>15</v>
      </c>
      <c r="H860" s="66" t="n">
        <f aca="false">F860/INDEX(Valeurs!$B$2:$B$40,MATCH(E860,Valeurs!$A$2:$A$40,0))*INDEX(Valeurs!$D$2:$D$40,MATCH(E860,Valeurs!$A$2:$A$40,0))</f>
        <v>0</v>
      </c>
      <c r="I860" s="72" t="n">
        <f aca="false">F860/INDEX(Valeurs!$B$2:$B$40,MATCH(E860,Valeurs!$A$2:$A$40,0))*INDEX(Valeurs!$E$2:$E$40,MATCH(E860,Valeurs!$A$2:$A$40,0))</f>
        <v>0</v>
      </c>
      <c r="J860" s="64" t="n">
        <v>2</v>
      </c>
    </row>
    <row r="861" customFormat="false" ht="15" hidden="false" customHeight="false" outlineLevel="0" collapsed="false">
      <c r="A861" s="70" t="n">
        <v>46315</v>
      </c>
      <c r="B861" s="64" t="s">
        <v>10</v>
      </c>
      <c r="C861" s="64" t="s">
        <v>11</v>
      </c>
      <c r="D861" s="64" t="s">
        <v>7</v>
      </c>
      <c r="E861" s="64" t="s">
        <v>21</v>
      </c>
      <c r="F861" s="71" t="n">
        <f aca="false">Menu!E474</f>
        <v>40</v>
      </c>
      <c r="G861" s="64" t="s">
        <v>15</v>
      </c>
      <c r="H861" s="66" t="n">
        <f aca="false">F861/INDEX(Valeurs!$B$2:$B$40,MATCH(E861,Valeurs!$A$2:$A$40,0))*INDEX(Valeurs!$D$2:$D$40,MATCH(E861,Valeurs!$A$2:$A$40,0))</f>
        <v>96</v>
      </c>
      <c r="I861" s="72" t="n">
        <f aca="false">F861/INDEX(Valeurs!$B$2:$B$40,MATCH(E861,Valeurs!$A$2:$A$40,0))*INDEX(Valeurs!$E$2:$E$40,MATCH(E861,Valeurs!$A$2:$A$40,0))</f>
        <v>3.6</v>
      </c>
      <c r="J861" s="64" t="n">
        <v>2</v>
      </c>
    </row>
    <row r="862" customFormat="false" ht="15" hidden="false" customHeight="false" outlineLevel="0" collapsed="false">
      <c r="A862" s="70" t="n">
        <v>46315</v>
      </c>
      <c r="B862" s="64" t="s">
        <v>10</v>
      </c>
      <c r="C862" s="64" t="s">
        <v>11</v>
      </c>
      <c r="D862" s="64" t="s">
        <v>6</v>
      </c>
      <c r="E862" s="64" t="s">
        <v>22</v>
      </c>
      <c r="F862" s="71" t="n">
        <f aca="false">Menu!D475</f>
        <v>0</v>
      </c>
      <c r="G862" s="64" t="s">
        <v>15</v>
      </c>
      <c r="H862" s="66" t="n">
        <f aca="false">F862/INDEX(Valeurs!$B$2:$B$40,MATCH(E862,Valeurs!$A$2:$A$40,0))*INDEX(Valeurs!$D$2:$D$40,MATCH(E862,Valeurs!$A$2:$A$40,0))</f>
        <v>0</v>
      </c>
      <c r="I862" s="72" t="n">
        <f aca="false">F862/INDEX(Valeurs!$B$2:$B$40,MATCH(E862,Valeurs!$A$2:$A$40,0))*INDEX(Valeurs!$E$2:$E$40,MATCH(E862,Valeurs!$A$2:$A$40,0))</f>
        <v>0</v>
      </c>
      <c r="J862" s="64" t="n">
        <v>2</v>
      </c>
    </row>
    <row r="863" customFormat="false" ht="15" hidden="false" customHeight="false" outlineLevel="0" collapsed="false">
      <c r="A863" s="70" t="n">
        <v>46315</v>
      </c>
      <c r="B863" s="64" t="s">
        <v>10</v>
      </c>
      <c r="C863" s="64" t="s">
        <v>11</v>
      </c>
      <c r="D863" s="64" t="s">
        <v>7</v>
      </c>
      <c r="E863" s="64" t="s">
        <v>22</v>
      </c>
      <c r="F863" s="71" t="n">
        <f aca="false">Menu!E475</f>
        <v>150</v>
      </c>
      <c r="G863" s="64" t="s">
        <v>15</v>
      </c>
      <c r="H863" s="66" t="n">
        <f aca="false">F863/INDEX(Valeurs!$B$2:$B$40,MATCH(E863,Valeurs!$A$2:$A$40,0))*INDEX(Valeurs!$D$2:$D$40,MATCH(E863,Valeurs!$A$2:$A$40,0))</f>
        <v>78</v>
      </c>
      <c r="I863" s="72" t="n">
        <f aca="false">F863/INDEX(Valeurs!$B$2:$B$40,MATCH(E863,Valeurs!$A$2:$A$40,0))*INDEX(Valeurs!$E$2:$E$40,MATCH(E863,Valeurs!$A$2:$A$40,0))</f>
        <v>0.45</v>
      </c>
      <c r="J863" s="64" t="n">
        <v>2</v>
      </c>
    </row>
    <row r="864" customFormat="false" ht="15" hidden="false" customHeight="false" outlineLevel="0" collapsed="false">
      <c r="A864" s="70" t="n">
        <v>46315</v>
      </c>
      <c r="B864" s="64" t="s">
        <v>23</v>
      </c>
      <c r="C864" s="64" t="s">
        <v>112</v>
      </c>
      <c r="D864" s="64" t="s">
        <v>6</v>
      </c>
      <c r="E864" s="64" t="s">
        <v>31</v>
      </c>
      <c r="F864" s="71" t="n">
        <f aca="false">Menu!D476</f>
        <v>150</v>
      </c>
      <c r="G864" s="64" t="s">
        <v>15</v>
      </c>
      <c r="H864" s="66" t="n">
        <f aca="false">F864/INDEX(Valeurs!$B$2:$B$40,MATCH(E864,Valeurs!$A$2:$A$40,0))*INDEX(Valeurs!$D$2:$D$40,MATCH(E864,Valeurs!$A$2:$A$40,0))</f>
        <v>120</v>
      </c>
      <c r="I864" s="72" t="n">
        <f aca="false">F864/INDEX(Valeurs!$B$2:$B$40,MATCH(E864,Valeurs!$A$2:$A$40,0))*INDEX(Valeurs!$E$2:$E$40,MATCH(E864,Valeurs!$A$2:$A$40,0))</f>
        <v>25.5</v>
      </c>
      <c r="J864" s="64" t="n">
        <v>2</v>
      </c>
    </row>
    <row r="865" customFormat="false" ht="15" hidden="false" customHeight="false" outlineLevel="0" collapsed="false">
      <c r="A865" s="70" t="n">
        <v>46315</v>
      </c>
      <c r="B865" s="64" t="s">
        <v>23</v>
      </c>
      <c r="C865" s="64" t="s">
        <v>112</v>
      </c>
      <c r="D865" s="64" t="s">
        <v>7</v>
      </c>
      <c r="E865" s="64" t="s">
        <v>31</v>
      </c>
      <c r="F865" s="71" t="n">
        <f aca="false">Menu!E476</f>
        <v>125</v>
      </c>
      <c r="G865" s="64" t="s">
        <v>15</v>
      </c>
      <c r="H865" s="66" t="n">
        <f aca="false">F865/INDEX(Valeurs!$B$2:$B$40,MATCH(E865,Valeurs!$A$2:$A$40,0))*INDEX(Valeurs!$D$2:$D$40,MATCH(E865,Valeurs!$A$2:$A$40,0))</f>
        <v>100</v>
      </c>
      <c r="I865" s="72" t="n">
        <f aca="false">F865/INDEX(Valeurs!$B$2:$B$40,MATCH(E865,Valeurs!$A$2:$A$40,0))*INDEX(Valeurs!$E$2:$E$40,MATCH(E865,Valeurs!$A$2:$A$40,0))</f>
        <v>21.25</v>
      </c>
      <c r="J865" s="64" t="n">
        <v>2</v>
      </c>
    </row>
    <row r="866" customFormat="false" ht="15" hidden="false" customHeight="false" outlineLevel="0" collapsed="false">
      <c r="A866" s="70" t="n">
        <v>46315</v>
      </c>
      <c r="B866" s="64" t="s">
        <v>23</v>
      </c>
      <c r="C866" s="64" t="s">
        <v>112</v>
      </c>
      <c r="D866" s="64" t="s">
        <v>6</v>
      </c>
      <c r="E866" s="64" t="s">
        <v>43</v>
      </c>
      <c r="F866" s="71" t="n">
        <f aca="false">Menu!D477</f>
        <v>85</v>
      </c>
      <c r="G866" s="64" t="s">
        <v>15</v>
      </c>
      <c r="H866" s="66" t="n">
        <f aca="false">F866/INDEX(Valeurs!$B$2:$B$40,MATCH(E866,Valeurs!$A$2:$A$40,0))*INDEX(Valeurs!$D$2:$D$40,MATCH(E866,Valeurs!$A$2:$A$40,0))</f>
        <v>301.75</v>
      </c>
      <c r="I866" s="72" t="n">
        <f aca="false">F866/INDEX(Valeurs!$B$2:$B$40,MATCH(E866,Valeurs!$A$2:$A$40,0))*INDEX(Valeurs!$E$2:$E$40,MATCH(E866,Valeurs!$A$2:$A$40,0))</f>
        <v>5.95</v>
      </c>
      <c r="J866" s="64" t="n">
        <v>2</v>
      </c>
    </row>
    <row r="867" customFormat="false" ht="15" hidden="false" customHeight="false" outlineLevel="0" collapsed="false">
      <c r="A867" s="70" t="n">
        <v>46315</v>
      </c>
      <c r="B867" s="64" t="s">
        <v>23</v>
      </c>
      <c r="C867" s="64" t="s">
        <v>112</v>
      </c>
      <c r="D867" s="64" t="s">
        <v>7</v>
      </c>
      <c r="E867" s="64" t="s">
        <v>43</v>
      </c>
      <c r="F867" s="71" t="n">
        <f aca="false">Menu!E477</f>
        <v>45</v>
      </c>
      <c r="G867" s="64" t="s">
        <v>15</v>
      </c>
      <c r="H867" s="66" t="n">
        <f aca="false">F867/INDEX(Valeurs!$B$2:$B$40,MATCH(E867,Valeurs!$A$2:$A$40,0))*INDEX(Valeurs!$D$2:$D$40,MATCH(E867,Valeurs!$A$2:$A$40,0))</f>
        <v>159.75</v>
      </c>
      <c r="I867" s="72" t="n">
        <f aca="false">F867/INDEX(Valeurs!$B$2:$B$40,MATCH(E867,Valeurs!$A$2:$A$40,0))*INDEX(Valeurs!$E$2:$E$40,MATCH(E867,Valeurs!$A$2:$A$40,0))</f>
        <v>3.15</v>
      </c>
      <c r="J867" s="64" t="n">
        <v>2</v>
      </c>
    </row>
    <row r="868" customFormat="false" ht="15" hidden="false" customHeight="false" outlineLevel="0" collapsed="false">
      <c r="A868" s="70" t="n">
        <v>46315</v>
      </c>
      <c r="B868" s="64" t="s">
        <v>23</v>
      </c>
      <c r="C868" s="64" t="s">
        <v>112</v>
      </c>
      <c r="D868" s="64" t="s">
        <v>6</v>
      </c>
      <c r="E868" s="64" t="s">
        <v>33</v>
      </c>
      <c r="F868" s="71" t="n">
        <f aca="false">Menu!D478</f>
        <v>180</v>
      </c>
      <c r="G868" s="64" t="s">
        <v>15</v>
      </c>
      <c r="H868" s="66" t="n">
        <f aca="false">F868/INDEX(Valeurs!$B$2:$B$40,MATCH(E868,Valeurs!$A$2:$A$40,0))*INDEX(Valeurs!$D$2:$D$40,MATCH(E868,Valeurs!$A$2:$A$40,0))</f>
        <v>30.6</v>
      </c>
      <c r="I868" s="72" t="n">
        <f aca="false">F868/INDEX(Valeurs!$B$2:$B$40,MATCH(E868,Valeurs!$A$2:$A$40,0))*INDEX(Valeurs!$E$2:$E$40,MATCH(E868,Valeurs!$A$2:$A$40,0))</f>
        <v>2.16</v>
      </c>
      <c r="J868" s="64" t="n">
        <v>2</v>
      </c>
    </row>
    <row r="869" customFormat="false" ht="15" hidden="false" customHeight="false" outlineLevel="0" collapsed="false">
      <c r="A869" s="70" t="n">
        <v>46315</v>
      </c>
      <c r="B869" s="64" t="s">
        <v>23</v>
      </c>
      <c r="C869" s="64" t="s">
        <v>112</v>
      </c>
      <c r="D869" s="64" t="s">
        <v>7</v>
      </c>
      <c r="E869" s="64" t="s">
        <v>33</v>
      </c>
      <c r="F869" s="71" t="n">
        <f aca="false">Menu!E478</f>
        <v>220</v>
      </c>
      <c r="G869" s="64" t="s">
        <v>15</v>
      </c>
      <c r="H869" s="66" t="n">
        <f aca="false">F869/INDEX(Valeurs!$B$2:$B$40,MATCH(E869,Valeurs!$A$2:$A$40,0))*INDEX(Valeurs!$D$2:$D$40,MATCH(E869,Valeurs!$A$2:$A$40,0))</f>
        <v>37.4</v>
      </c>
      <c r="I869" s="72" t="n">
        <f aca="false">F869/INDEX(Valeurs!$B$2:$B$40,MATCH(E869,Valeurs!$A$2:$A$40,0))*INDEX(Valeurs!$E$2:$E$40,MATCH(E869,Valeurs!$A$2:$A$40,0))</f>
        <v>2.64</v>
      </c>
      <c r="J869" s="64" t="n">
        <v>2</v>
      </c>
    </row>
    <row r="870" customFormat="false" ht="15" hidden="false" customHeight="false" outlineLevel="0" collapsed="false">
      <c r="A870" s="70" t="n">
        <v>46315</v>
      </c>
      <c r="B870" s="64" t="s">
        <v>23</v>
      </c>
      <c r="C870" s="64" t="s">
        <v>112</v>
      </c>
      <c r="D870" s="64" t="s">
        <v>6</v>
      </c>
      <c r="E870" s="64" t="s">
        <v>20</v>
      </c>
      <c r="F870" s="71" t="n">
        <f aca="false">Menu!D479</f>
        <v>60</v>
      </c>
      <c r="G870" s="64" t="s">
        <v>15</v>
      </c>
      <c r="H870" s="66" t="n">
        <f aca="false">F870/INDEX(Valeurs!$B$2:$B$40,MATCH(E870,Valeurs!$A$2:$A$40,0))*INDEX(Valeurs!$D$2:$D$40,MATCH(E870,Valeurs!$A$2:$A$40,0))</f>
        <v>10.8</v>
      </c>
      <c r="I870" s="72" t="n">
        <f aca="false">F870/INDEX(Valeurs!$B$2:$B$40,MATCH(E870,Valeurs!$A$2:$A$40,0))*INDEX(Valeurs!$E$2:$E$40,MATCH(E870,Valeurs!$A$2:$A$40,0))</f>
        <v>0.54</v>
      </c>
      <c r="J870" s="64" t="n">
        <v>2</v>
      </c>
    </row>
    <row r="871" customFormat="false" ht="15" hidden="false" customHeight="false" outlineLevel="0" collapsed="false">
      <c r="A871" s="70" t="n">
        <v>46315</v>
      </c>
      <c r="B871" s="64" t="s">
        <v>23</v>
      </c>
      <c r="C871" s="64" t="s">
        <v>112</v>
      </c>
      <c r="D871" s="64" t="s">
        <v>7</v>
      </c>
      <c r="E871" s="64" t="s">
        <v>20</v>
      </c>
      <c r="F871" s="71" t="n">
        <f aca="false">Menu!E479</f>
        <v>80</v>
      </c>
      <c r="G871" s="64" t="s">
        <v>15</v>
      </c>
      <c r="H871" s="66" t="n">
        <f aca="false">F871/INDEX(Valeurs!$B$2:$B$40,MATCH(E871,Valeurs!$A$2:$A$40,0))*INDEX(Valeurs!$D$2:$D$40,MATCH(E871,Valeurs!$A$2:$A$40,0))</f>
        <v>14.4</v>
      </c>
      <c r="I871" s="72" t="n">
        <f aca="false">F871/INDEX(Valeurs!$B$2:$B$40,MATCH(E871,Valeurs!$A$2:$A$40,0))*INDEX(Valeurs!$E$2:$E$40,MATCH(E871,Valeurs!$A$2:$A$40,0))</f>
        <v>0.72</v>
      </c>
      <c r="J871" s="64" t="n">
        <v>2</v>
      </c>
    </row>
    <row r="872" customFormat="false" ht="15" hidden="false" customHeight="false" outlineLevel="0" collapsed="false">
      <c r="A872" s="70" t="n">
        <v>46315</v>
      </c>
      <c r="B872" s="64" t="s">
        <v>23</v>
      </c>
      <c r="C872" s="64" t="s">
        <v>112</v>
      </c>
      <c r="D872" s="64" t="s">
        <v>6</v>
      </c>
      <c r="E872" s="64" t="s">
        <v>28</v>
      </c>
      <c r="F872" s="71" t="n">
        <f aca="false">Menu!D480</f>
        <v>10</v>
      </c>
      <c r="G872" s="64" t="s">
        <v>15</v>
      </c>
      <c r="H872" s="66" t="n">
        <f aca="false">F872/INDEX(Valeurs!$B$2:$B$40,MATCH(E872,Valeurs!$A$2:$A$40,0))*INDEX(Valeurs!$D$2:$D$40,MATCH(E872,Valeurs!$A$2:$A$40,0))</f>
        <v>90</v>
      </c>
      <c r="I872" s="72" t="n">
        <f aca="false">F872/INDEX(Valeurs!$B$2:$B$40,MATCH(E872,Valeurs!$A$2:$A$40,0))*INDEX(Valeurs!$E$2:$E$40,MATCH(E872,Valeurs!$A$2:$A$40,0))</f>
        <v>0</v>
      </c>
      <c r="J872" s="64" t="n">
        <v>2</v>
      </c>
    </row>
    <row r="873" customFormat="false" ht="15" hidden="false" customHeight="false" outlineLevel="0" collapsed="false">
      <c r="A873" s="70" t="n">
        <v>46315</v>
      </c>
      <c r="B873" s="64" t="s">
        <v>23</v>
      </c>
      <c r="C873" s="64" t="s">
        <v>112</v>
      </c>
      <c r="D873" s="64" t="s">
        <v>7</v>
      </c>
      <c r="E873" s="64" t="s">
        <v>28</v>
      </c>
      <c r="F873" s="71" t="n">
        <f aca="false">Menu!E480</f>
        <v>7</v>
      </c>
      <c r="G873" s="64" t="s">
        <v>15</v>
      </c>
      <c r="H873" s="66" t="n">
        <f aca="false">F873/INDEX(Valeurs!$B$2:$B$40,MATCH(E873,Valeurs!$A$2:$A$40,0))*INDEX(Valeurs!$D$2:$D$40,MATCH(E873,Valeurs!$A$2:$A$40,0))</f>
        <v>63</v>
      </c>
      <c r="I873" s="72" t="n">
        <f aca="false">F873/INDEX(Valeurs!$B$2:$B$40,MATCH(E873,Valeurs!$A$2:$A$40,0))*INDEX(Valeurs!$E$2:$E$40,MATCH(E873,Valeurs!$A$2:$A$40,0))</f>
        <v>0</v>
      </c>
      <c r="J873" s="64" t="n">
        <v>2</v>
      </c>
    </row>
    <row r="874" customFormat="false" ht="15" hidden="false" customHeight="false" outlineLevel="0" collapsed="false">
      <c r="A874" s="70" t="n">
        <v>46315</v>
      </c>
      <c r="B874" s="64" t="s">
        <v>29</v>
      </c>
      <c r="C874" s="64" t="s">
        <v>113</v>
      </c>
      <c r="D874" s="64" t="s">
        <v>6</v>
      </c>
      <c r="E874" s="64" t="s">
        <v>25</v>
      </c>
      <c r="F874" s="71" t="n">
        <f aca="false">Menu!D481</f>
        <v>150</v>
      </c>
      <c r="G874" s="64" t="s">
        <v>15</v>
      </c>
      <c r="H874" s="66" t="n">
        <f aca="false">F874/INDEX(Valeurs!$B$2:$B$40,MATCH(E874,Valeurs!$A$2:$A$40,0))*INDEX(Valeurs!$D$2:$D$40,MATCH(E874,Valeurs!$A$2:$A$40,0))</f>
        <v>172.5</v>
      </c>
      <c r="I874" s="72" t="n">
        <f aca="false">F874/INDEX(Valeurs!$B$2:$B$40,MATCH(E874,Valeurs!$A$2:$A$40,0))*INDEX(Valeurs!$E$2:$E$40,MATCH(E874,Valeurs!$A$2:$A$40,0))</f>
        <v>34.5</v>
      </c>
      <c r="J874" s="64" t="n">
        <v>2</v>
      </c>
    </row>
    <row r="875" customFormat="false" ht="15" hidden="false" customHeight="false" outlineLevel="0" collapsed="false">
      <c r="A875" s="70" t="n">
        <v>46315</v>
      </c>
      <c r="B875" s="64" t="s">
        <v>29</v>
      </c>
      <c r="C875" s="64" t="s">
        <v>113</v>
      </c>
      <c r="D875" s="64" t="s">
        <v>7</v>
      </c>
      <c r="E875" s="64" t="s">
        <v>25</v>
      </c>
      <c r="F875" s="71" t="n">
        <f aca="false">Menu!E481</f>
        <v>120</v>
      </c>
      <c r="G875" s="64" t="s">
        <v>15</v>
      </c>
      <c r="H875" s="66" t="n">
        <f aca="false">F875/INDEX(Valeurs!$B$2:$B$40,MATCH(E875,Valeurs!$A$2:$A$40,0))*INDEX(Valeurs!$D$2:$D$40,MATCH(E875,Valeurs!$A$2:$A$40,0))</f>
        <v>138</v>
      </c>
      <c r="I875" s="72" t="n">
        <f aca="false">F875/INDEX(Valeurs!$B$2:$B$40,MATCH(E875,Valeurs!$A$2:$A$40,0))*INDEX(Valeurs!$E$2:$E$40,MATCH(E875,Valeurs!$A$2:$A$40,0))</f>
        <v>27.6</v>
      </c>
      <c r="J875" s="64" t="n">
        <v>2</v>
      </c>
    </row>
    <row r="876" customFormat="false" ht="15" hidden="false" customHeight="false" outlineLevel="0" collapsed="false">
      <c r="A876" s="70" t="n">
        <v>46315</v>
      </c>
      <c r="B876" s="64" t="s">
        <v>29</v>
      </c>
      <c r="C876" s="64" t="s">
        <v>113</v>
      </c>
      <c r="D876" s="64" t="s">
        <v>6</v>
      </c>
      <c r="E876" s="64" t="s">
        <v>34</v>
      </c>
      <c r="F876" s="71" t="n">
        <f aca="false">Menu!D482</f>
        <v>60</v>
      </c>
      <c r="G876" s="64" t="s">
        <v>15</v>
      </c>
      <c r="H876" s="66" t="n">
        <f aca="false">F876/INDEX(Valeurs!$B$2:$B$40,MATCH(E876,Valeurs!$A$2:$A$40,0))*INDEX(Valeurs!$D$2:$D$40,MATCH(E876,Valeurs!$A$2:$A$40,0))</f>
        <v>16.2</v>
      </c>
      <c r="I876" s="72" t="n">
        <f aca="false">F876/INDEX(Valeurs!$B$2:$B$40,MATCH(E876,Valeurs!$A$2:$A$40,0))*INDEX(Valeurs!$E$2:$E$40,MATCH(E876,Valeurs!$A$2:$A$40,0))</f>
        <v>0.6</v>
      </c>
      <c r="J876" s="64" t="n">
        <v>2</v>
      </c>
    </row>
    <row r="877" customFormat="false" ht="15" hidden="false" customHeight="false" outlineLevel="0" collapsed="false">
      <c r="A877" s="70" t="n">
        <v>46315</v>
      </c>
      <c r="B877" s="64" t="s">
        <v>29</v>
      </c>
      <c r="C877" s="64" t="s">
        <v>113</v>
      </c>
      <c r="D877" s="64" t="s">
        <v>7</v>
      </c>
      <c r="E877" s="64" t="s">
        <v>34</v>
      </c>
      <c r="F877" s="71" t="n">
        <f aca="false">Menu!E482</f>
        <v>80</v>
      </c>
      <c r="G877" s="64" t="s">
        <v>15</v>
      </c>
      <c r="H877" s="66" t="n">
        <f aca="false">F877/INDEX(Valeurs!$B$2:$B$40,MATCH(E877,Valeurs!$A$2:$A$40,0))*INDEX(Valeurs!$D$2:$D$40,MATCH(E877,Valeurs!$A$2:$A$40,0))</f>
        <v>21.6</v>
      </c>
      <c r="I877" s="72" t="n">
        <f aca="false">F877/INDEX(Valeurs!$B$2:$B$40,MATCH(E877,Valeurs!$A$2:$A$40,0))*INDEX(Valeurs!$E$2:$E$40,MATCH(E877,Valeurs!$A$2:$A$40,0))</f>
        <v>0.8</v>
      </c>
      <c r="J877" s="64" t="n">
        <v>2</v>
      </c>
    </row>
    <row r="878" customFormat="false" ht="15" hidden="false" customHeight="false" outlineLevel="0" collapsed="false">
      <c r="A878" s="70" t="n">
        <v>46315</v>
      </c>
      <c r="B878" s="64" t="s">
        <v>29</v>
      </c>
      <c r="C878" s="64" t="s">
        <v>113</v>
      </c>
      <c r="D878" s="64" t="s">
        <v>6</v>
      </c>
      <c r="E878" s="64" t="s">
        <v>20</v>
      </c>
      <c r="F878" s="71" t="n">
        <f aca="false">Menu!D483</f>
        <v>120</v>
      </c>
      <c r="G878" s="64" t="s">
        <v>15</v>
      </c>
      <c r="H878" s="66" t="n">
        <f aca="false">F878/INDEX(Valeurs!$B$2:$B$40,MATCH(E878,Valeurs!$A$2:$A$40,0))*INDEX(Valeurs!$D$2:$D$40,MATCH(E878,Valeurs!$A$2:$A$40,0))</f>
        <v>21.6</v>
      </c>
      <c r="I878" s="72" t="n">
        <f aca="false">F878/INDEX(Valeurs!$B$2:$B$40,MATCH(E878,Valeurs!$A$2:$A$40,0))*INDEX(Valeurs!$E$2:$E$40,MATCH(E878,Valeurs!$A$2:$A$40,0))</f>
        <v>1.08</v>
      </c>
      <c r="J878" s="64" t="n">
        <v>2</v>
      </c>
    </row>
    <row r="879" customFormat="false" ht="15" hidden="false" customHeight="false" outlineLevel="0" collapsed="false">
      <c r="A879" s="70" t="n">
        <v>46315</v>
      </c>
      <c r="B879" s="64" t="s">
        <v>29</v>
      </c>
      <c r="C879" s="64" t="s">
        <v>113</v>
      </c>
      <c r="D879" s="64" t="s">
        <v>7</v>
      </c>
      <c r="E879" s="64" t="s">
        <v>20</v>
      </c>
      <c r="F879" s="71" t="n">
        <f aca="false">Menu!E483</f>
        <v>150</v>
      </c>
      <c r="G879" s="64" t="s">
        <v>15</v>
      </c>
      <c r="H879" s="66" t="n">
        <f aca="false">F879/INDEX(Valeurs!$B$2:$B$40,MATCH(E879,Valeurs!$A$2:$A$40,0))*INDEX(Valeurs!$D$2:$D$40,MATCH(E879,Valeurs!$A$2:$A$40,0))</f>
        <v>27</v>
      </c>
      <c r="I879" s="72" t="n">
        <f aca="false">F879/INDEX(Valeurs!$B$2:$B$40,MATCH(E879,Valeurs!$A$2:$A$40,0))*INDEX(Valeurs!$E$2:$E$40,MATCH(E879,Valeurs!$A$2:$A$40,0))</f>
        <v>1.35</v>
      </c>
      <c r="J879" s="64" t="n">
        <v>2</v>
      </c>
    </row>
    <row r="880" customFormat="false" ht="15" hidden="false" customHeight="false" outlineLevel="0" collapsed="false">
      <c r="A880" s="70" t="n">
        <v>46315</v>
      </c>
      <c r="B880" s="64" t="s">
        <v>29</v>
      </c>
      <c r="C880" s="64" t="s">
        <v>113</v>
      </c>
      <c r="D880" s="64" t="s">
        <v>6</v>
      </c>
      <c r="E880" s="64" t="s">
        <v>35</v>
      </c>
      <c r="F880" s="71" t="n">
        <f aca="false">Menu!D484</f>
        <v>30</v>
      </c>
      <c r="G880" s="64" t="s">
        <v>15</v>
      </c>
      <c r="H880" s="66" t="n">
        <f aca="false">F880/INDEX(Valeurs!$B$2:$B$40,MATCH(E880,Valeurs!$A$2:$A$40,0))*INDEX(Valeurs!$D$2:$D$40,MATCH(E880,Valeurs!$A$2:$A$40,0))</f>
        <v>12</v>
      </c>
      <c r="I880" s="72" t="n">
        <f aca="false">F880/INDEX(Valeurs!$B$2:$B$40,MATCH(E880,Valeurs!$A$2:$A$40,0))*INDEX(Valeurs!$E$2:$E$40,MATCH(E880,Valeurs!$A$2:$A$40,0))</f>
        <v>0.33</v>
      </c>
      <c r="J880" s="64" t="n">
        <v>2</v>
      </c>
    </row>
    <row r="881" customFormat="false" ht="15" hidden="false" customHeight="false" outlineLevel="0" collapsed="false">
      <c r="A881" s="70" t="n">
        <v>46315</v>
      </c>
      <c r="B881" s="64" t="s">
        <v>29</v>
      </c>
      <c r="C881" s="64" t="s">
        <v>113</v>
      </c>
      <c r="D881" s="64" t="s">
        <v>7</v>
      </c>
      <c r="E881" s="64" t="s">
        <v>35</v>
      </c>
      <c r="F881" s="71" t="n">
        <f aca="false">Menu!E484</f>
        <v>30</v>
      </c>
      <c r="G881" s="64" t="s">
        <v>15</v>
      </c>
      <c r="H881" s="66" t="n">
        <f aca="false">F881/INDEX(Valeurs!$B$2:$B$40,MATCH(E881,Valeurs!$A$2:$A$40,0))*INDEX(Valeurs!$D$2:$D$40,MATCH(E881,Valeurs!$A$2:$A$40,0))</f>
        <v>12</v>
      </c>
      <c r="I881" s="72" t="n">
        <f aca="false">F881/INDEX(Valeurs!$B$2:$B$40,MATCH(E881,Valeurs!$A$2:$A$40,0))*INDEX(Valeurs!$E$2:$E$40,MATCH(E881,Valeurs!$A$2:$A$40,0))</f>
        <v>0.33</v>
      </c>
      <c r="J881" s="64" t="n">
        <v>2</v>
      </c>
    </row>
    <row r="882" customFormat="false" ht="15" hidden="false" customHeight="false" outlineLevel="0" collapsed="false">
      <c r="A882" s="70" t="n">
        <v>46315</v>
      </c>
      <c r="B882" s="64" t="s">
        <v>29</v>
      </c>
      <c r="C882" s="64" t="s">
        <v>113</v>
      </c>
      <c r="D882" s="64" t="s">
        <v>6</v>
      </c>
      <c r="E882" s="64" t="s">
        <v>26</v>
      </c>
      <c r="F882" s="71" t="n">
        <f aca="false">Menu!D485</f>
        <v>360</v>
      </c>
      <c r="G882" s="64" t="s">
        <v>15</v>
      </c>
      <c r="H882" s="66" t="n">
        <f aca="false">F882/INDEX(Valeurs!$B$2:$B$40,MATCH(E882,Valeurs!$A$2:$A$40,0))*INDEX(Valeurs!$D$2:$D$40,MATCH(E882,Valeurs!$A$2:$A$40,0))</f>
        <v>288</v>
      </c>
      <c r="I882" s="72" t="n">
        <f aca="false">F882/INDEX(Valeurs!$B$2:$B$40,MATCH(E882,Valeurs!$A$2:$A$40,0))*INDEX(Valeurs!$E$2:$E$40,MATCH(E882,Valeurs!$A$2:$A$40,0))</f>
        <v>7.2</v>
      </c>
      <c r="J882" s="64" t="n">
        <v>2</v>
      </c>
    </row>
    <row r="883" customFormat="false" ht="15" hidden="false" customHeight="false" outlineLevel="0" collapsed="false">
      <c r="A883" s="70" t="n">
        <v>46315</v>
      </c>
      <c r="B883" s="64" t="s">
        <v>29</v>
      </c>
      <c r="C883" s="64" t="s">
        <v>113</v>
      </c>
      <c r="D883" s="64" t="s">
        <v>7</v>
      </c>
      <c r="E883" s="64" t="s">
        <v>26</v>
      </c>
      <c r="F883" s="71" t="n">
        <f aca="false">Menu!E485</f>
        <v>170</v>
      </c>
      <c r="G883" s="64" t="s">
        <v>15</v>
      </c>
      <c r="H883" s="66" t="n">
        <f aca="false">F883/INDEX(Valeurs!$B$2:$B$40,MATCH(E883,Valeurs!$A$2:$A$40,0))*INDEX(Valeurs!$D$2:$D$40,MATCH(E883,Valeurs!$A$2:$A$40,0))</f>
        <v>136</v>
      </c>
      <c r="I883" s="72" t="n">
        <f aca="false">F883/INDEX(Valeurs!$B$2:$B$40,MATCH(E883,Valeurs!$A$2:$A$40,0))*INDEX(Valeurs!$E$2:$E$40,MATCH(E883,Valeurs!$A$2:$A$40,0))</f>
        <v>3.4</v>
      </c>
      <c r="J883" s="64" t="n">
        <v>2</v>
      </c>
    </row>
    <row r="884" customFormat="false" ht="15" hidden="false" customHeight="false" outlineLevel="0" collapsed="false">
      <c r="A884" s="70" t="n">
        <v>46315</v>
      </c>
      <c r="B884" s="64" t="s">
        <v>29</v>
      </c>
      <c r="C884" s="64" t="s">
        <v>113</v>
      </c>
      <c r="D884" s="64" t="s">
        <v>6</v>
      </c>
      <c r="E884" s="64" t="s">
        <v>28</v>
      </c>
      <c r="F884" s="71" t="n">
        <f aca="false">Menu!D486</f>
        <v>10</v>
      </c>
      <c r="G884" s="64" t="s">
        <v>15</v>
      </c>
      <c r="H884" s="66" t="n">
        <f aca="false">F884/INDEX(Valeurs!$B$2:$B$40,MATCH(E884,Valeurs!$A$2:$A$40,0))*INDEX(Valeurs!$D$2:$D$40,MATCH(E884,Valeurs!$A$2:$A$40,0))</f>
        <v>90</v>
      </c>
      <c r="I884" s="72" t="n">
        <f aca="false">F884/INDEX(Valeurs!$B$2:$B$40,MATCH(E884,Valeurs!$A$2:$A$40,0))*INDEX(Valeurs!$E$2:$E$40,MATCH(E884,Valeurs!$A$2:$A$40,0))</f>
        <v>0</v>
      </c>
      <c r="J884" s="64" t="n">
        <v>2</v>
      </c>
    </row>
    <row r="885" customFormat="false" ht="15" hidden="false" customHeight="false" outlineLevel="0" collapsed="false">
      <c r="A885" s="70" t="n">
        <v>46315</v>
      </c>
      <c r="B885" s="64" t="s">
        <v>29</v>
      </c>
      <c r="C885" s="64" t="s">
        <v>113</v>
      </c>
      <c r="D885" s="64" t="s">
        <v>7</v>
      </c>
      <c r="E885" s="64" t="s">
        <v>28</v>
      </c>
      <c r="F885" s="71" t="n">
        <f aca="false">Menu!E486</f>
        <v>7</v>
      </c>
      <c r="G885" s="64" t="s">
        <v>15</v>
      </c>
      <c r="H885" s="66" t="n">
        <f aca="false">F885/INDEX(Valeurs!$B$2:$B$40,MATCH(E885,Valeurs!$A$2:$A$40,0))*INDEX(Valeurs!$D$2:$D$40,MATCH(E885,Valeurs!$A$2:$A$40,0))</f>
        <v>63</v>
      </c>
      <c r="I885" s="72" t="n">
        <f aca="false">F885/INDEX(Valeurs!$B$2:$B$40,MATCH(E885,Valeurs!$A$2:$A$40,0))*INDEX(Valeurs!$E$2:$E$40,MATCH(E885,Valeurs!$A$2:$A$40,0))</f>
        <v>0</v>
      </c>
      <c r="J885" s="64" t="n">
        <v>2</v>
      </c>
    </row>
    <row r="886" customFormat="false" ht="15" hidden="false" customHeight="false" outlineLevel="0" collapsed="false">
      <c r="A886" s="70" t="n">
        <v>46315</v>
      </c>
      <c r="B886" s="64" t="s">
        <v>36</v>
      </c>
      <c r="C886" s="64" t="s">
        <v>68</v>
      </c>
      <c r="D886" s="64" t="s">
        <v>6</v>
      </c>
      <c r="E886" s="64" t="s">
        <v>39</v>
      </c>
      <c r="F886" s="71" t="n">
        <f aca="false">Menu!D487</f>
        <v>15</v>
      </c>
      <c r="G886" s="64" t="s">
        <v>15</v>
      </c>
      <c r="H886" s="66" t="n">
        <f aca="false">F886/INDEX(Valeurs!$B$2:$B$40,MATCH(E886,Valeurs!$A$2:$A$40,0))*INDEX(Valeurs!$D$2:$D$40,MATCH(E886,Valeurs!$A$2:$A$40,0))</f>
        <v>87</v>
      </c>
      <c r="I886" s="72" t="n">
        <f aca="false">F886/INDEX(Valeurs!$B$2:$B$40,MATCH(E886,Valeurs!$A$2:$A$40,0))*INDEX(Valeurs!$E$2:$E$40,MATCH(E886,Valeurs!$A$2:$A$40,0))</f>
        <v>1.125</v>
      </c>
      <c r="J886" s="64" t="n">
        <v>2</v>
      </c>
    </row>
    <row r="887" customFormat="false" ht="15" hidden="false" customHeight="false" outlineLevel="0" collapsed="false">
      <c r="A887" s="70" t="n">
        <v>46315</v>
      </c>
      <c r="B887" s="64" t="s">
        <v>36</v>
      </c>
      <c r="C887" s="64" t="s">
        <v>68</v>
      </c>
      <c r="D887" s="64" t="s">
        <v>7</v>
      </c>
      <c r="E887" s="64" t="s">
        <v>39</v>
      </c>
      <c r="F887" s="71" t="n">
        <f aca="false">Menu!E487</f>
        <v>10</v>
      </c>
      <c r="G887" s="64" t="s">
        <v>15</v>
      </c>
      <c r="H887" s="66" t="n">
        <f aca="false">F887/INDEX(Valeurs!$B$2:$B$40,MATCH(E887,Valeurs!$A$2:$A$40,0))*INDEX(Valeurs!$D$2:$D$40,MATCH(E887,Valeurs!$A$2:$A$40,0))</f>
        <v>58</v>
      </c>
      <c r="I887" s="72" t="n">
        <f aca="false">F887/INDEX(Valeurs!$B$2:$B$40,MATCH(E887,Valeurs!$A$2:$A$40,0))*INDEX(Valeurs!$E$2:$E$40,MATCH(E887,Valeurs!$A$2:$A$40,0))</f>
        <v>0.75</v>
      </c>
      <c r="J887" s="64" t="n">
        <v>2</v>
      </c>
    </row>
    <row r="888" customFormat="false" ht="15" hidden="false" customHeight="false" outlineLevel="0" collapsed="false">
      <c r="A888" s="70" t="n">
        <v>46316</v>
      </c>
      <c r="B888" s="64" t="s">
        <v>10</v>
      </c>
      <c r="C888" s="64" t="s">
        <v>11</v>
      </c>
      <c r="D888" s="64" t="s">
        <v>6</v>
      </c>
      <c r="E888" s="64" t="s">
        <v>12</v>
      </c>
      <c r="F888" s="71" t="n">
        <f aca="false">Menu!D490</f>
        <v>250</v>
      </c>
      <c r="G888" s="64" t="s">
        <v>13</v>
      </c>
      <c r="H888" s="66" t="n">
        <f aca="false">F888/INDEX(Valeurs!$B$2:$B$40,MATCH(E888,Valeurs!$A$2:$A$40,0))*INDEX(Valeurs!$D$2:$D$40,MATCH(E888,Valeurs!$A$2:$A$40,0))</f>
        <v>115</v>
      </c>
      <c r="I888" s="72" t="n">
        <f aca="false">F888/INDEX(Valeurs!$B$2:$B$40,MATCH(E888,Valeurs!$A$2:$A$40,0))*INDEX(Valeurs!$E$2:$E$40,MATCH(E888,Valeurs!$A$2:$A$40,0))</f>
        <v>8.25</v>
      </c>
      <c r="J888" s="64" t="n">
        <v>2</v>
      </c>
    </row>
    <row r="889" customFormat="false" ht="15" hidden="false" customHeight="false" outlineLevel="0" collapsed="false">
      <c r="A889" s="70" t="n">
        <v>46316</v>
      </c>
      <c r="B889" s="64" t="s">
        <v>10</v>
      </c>
      <c r="C889" s="64" t="s">
        <v>11</v>
      </c>
      <c r="D889" s="64" t="s">
        <v>7</v>
      </c>
      <c r="E889" s="64" t="s">
        <v>12</v>
      </c>
      <c r="F889" s="71" t="n">
        <f aca="false">Menu!E490</f>
        <v>0</v>
      </c>
      <c r="G889" s="64" t="s">
        <v>13</v>
      </c>
      <c r="H889" s="66" t="n">
        <f aca="false">F889/INDEX(Valeurs!$B$2:$B$40,MATCH(E889,Valeurs!$A$2:$A$40,0))*INDEX(Valeurs!$D$2:$D$40,MATCH(E889,Valeurs!$A$2:$A$40,0))</f>
        <v>0</v>
      </c>
      <c r="I889" s="72" t="n">
        <f aca="false">F889/INDEX(Valeurs!$B$2:$B$40,MATCH(E889,Valeurs!$A$2:$A$40,0))*INDEX(Valeurs!$E$2:$E$40,MATCH(E889,Valeurs!$A$2:$A$40,0))</f>
        <v>0</v>
      </c>
      <c r="J889" s="64" t="n">
        <v>2</v>
      </c>
    </row>
    <row r="890" customFormat="false" ht="15" hidden="false" customHeight="false" outlineLevel="0" collapsed="false">
      <c r="A890" s="70" t="n">
        <v>46316</v>
      </c>
      <c r="B890" s="64" t="s">
        <v>10</v>
      </c>
      <c r="C890" s="64" t="s">
        <v>11</v>
      </c>
      <c r="D890" s="64" t="s">
        <v>6</v>
      </c>
      <c r="E890" s="64" t="s">
        <v>14</v>
      </c>
      <c r="F890" s="71" t="n">
        <f aca="false">Menu!D491</f>
        <v>100</v>
      </c>
      <c r="G890" s="64" t="s">
        <v>15</v>
      </c>
      <c r="H890" s="66" t="n">
        <f aca="false">F890/INDEX(Valeurs!$B$2:$B$40,MATCH(E890,Valeurs!$A$2:$A$40,0))*INDEX(Valeurs!$D$2:$D$40,MATCH(E890,Valeurs!$A$2:$A$40,0))</f>
        <v>90</v>
      </c>
      <c r="I890" s="72" t="n">
        <f aca="false">F890/INDEX(Valeurs!$B$2:$B$40,MATCH(E890,Valeurs!$A$2:$A$40,0))*INDEX(Valeurs!$E$2:$E$40,MATCH(E890,Valeurs!$A$2:$A$40,0))</f>
        <v>1.1</v>
      </c>
      <c r="J890" s="64" t="n">
        <v>2</v>
      </c>
    </row>
    <row r="891" customFormat="false" ht="15" hidden="false" customHeight="false" outlineLevel="0" collapsed="false">
      <c r="A891" s="70" t="n">
        <v>46316</v>
      </c>
      <c r="B891" s="64" t="s">
        <v>10</v>
      </c>
      <c r="C891" s="64" t="s">
        <v>11</v>
      </c>
      <c r="D891" s="64" t="s">
        <v>7</v>
      </c>
      <c r="E891" s="64" t="s">
        <v>14</v>
      </c>
      <c r="F891" s="71" t="n">
        <f aca="false">Menu!E491</f>
        <v>0</v>
      </c>
      <c r="G891" s="64" t="s">
        <v>15</v>
      </c>
      <c r="H891" s="66" t="n">
        <f aca="false">F891/INDEX(Valeurs!$B$2:$B$40,MATCH(E891,Valeurs!$A$2:$A$40,0))*INDEX(Valeurs!$D$2:$D$40,MATCH(E891,Valeurs!$A$2:$A$40,0))</f>
        <v>0</v>
      </c>
      <c r="I891" s="72" t="n">
        <f aca="false">F891/INDEX(Valeurs!$B$2:$B$40,MATCH(E891,Valeurs!$A$2:$A$40,0))*INDEX(Valeurs!$E$2:$E$40,MATCH(E891,Valeurs!$A$2:$A$40,0))</f>
        <v>0</v>
      </c>
      <c r="J891" s="64" t="n">
        <v>2</v>
      </c>
    </row>
    <row r="892" customFormat="false" ht="15" hidden="false" customHeight="false" outlineLevel="0" collapsed="false">
      <c r="A892" s="70" t="n">
        <v>46316</v>
      </c>
      <c r="B892" s="64" t="s">
        <v>10</v>
      </c>
      <c r="C892" s="64" t="s">
        <v>11</v>
      </c>
      <c r="D892" s="64" t="s">
        <v>6</v>
      </c>
      <c r="E892" s="64" t="s">
        <v>16</v>
      </c>
      <c r="F892" s="71" t="n">
        <f aca="false">Menu!D492</f>
        <v>65</v>
      </c>
      <c r="G892" s="64" t="s">
        <v>15</v>
      </c>
      <c r="H892" s="66" t="n">
        <f aca="false">F892/INDEX(Valeurs!$B$2:$B$40,MATCH(E892,Valeurs!$A$2:$A$40,0))*INDEX(Valeurs!$D$2:$D$40,MATCH(E892,Valeurs!$A$2:$A$40,0))</f>
        <v>241.8</v>
      </c>
      <c r="I892" s="72" t="n">
        <f aca="false">F892/INDEX(Valeurs!$B$2:$B$40,MATCH(E892,Valeurs!$A$2:$A$40,0))*INDEX(Valeurs!$E$2:$E$40,MATCH(E892,Valeurs!$A$2:$A$40,0))</f>
        <v>8.775</v>
      </c>
      <c r="J892" s="64" t="n">
        <v>2</v>
      </c>
    </row>
    <row r="893" customFormat="false" ht="15" hidden="false" customHeight="false" outlineLevel="0" collapsed="false">
      <c r="A893" s="70" t="n">
        <v>46316</v>
      </c>
      <c r="B893" s="64" t="s">
        <v>10</v>
      </c>
      <c r="C893" s="64" t="s">
        <v>11</v>
      </c>
      <c r="D893" s="64" t="s">
        <v>7</v>
      </c>
      <c r="E893" s="64" t="s">
        <v>16</v>
      </c>
      <c r="F893" s="71" t="n">
        <f aca="false">Menu!E492</f>
        <v>0</v>
      </c>
      <c r="G893" s="64" t="s">
        <v>15</v>
      </c>
      <c r="H893" s="66" t="n">
        <f aca="false">F893/INDEX(Valeurs!$B$2:$B$40,MATCH(E893,Valeurs!$A$2:$A$40,0))*INDEX(Valeurs!$D$2:$D$40,MATCH(E893,Valeurs!$A$2:$A$40,0))</f>
        <v>0</v>
      </c>
      <c r="I893" s="72" t="n">
        <f aca="false">F893/INDEX(Valeurs!$B$2:$B$40,MATCH(E893,Valeurs!$A$2:$A$40,0))*INDEX(Valeurs!$E$2:$E$40,MATCH(E893,Valeurs!$A$2:$A$40,0))</f>
        <v>0</v>
      </c>
      <c r="J893" s="64" t="n">
        <v>2</v>
      </c>
    </row>
    <row r="894" customFormat="false" ht="15" hidden="false" customHeight="false" outlineLevel="0" collapsed="false">
      <c r="A894" s="70" t="n">
        <v>46316</v>
      </c>
      <c r="B894" s="64" t="s">
        <v>10</v>
      </c>
      <c r="C894" s="64" t="s">
        <v>11</v>
      </c>
      <c r="D894" s="64" t="s">
        <v>6</v>
      </c>
      <c r="E894" s="64" t="s">
        <v>17</v>
      </c>
      <c r="F894" s="71" t="n">
        <f aca="false">Menu!D493</f>
        <v>1</v>
      </c>
      <c r="G894" s="64" t="s">
        <v>171</v>
      </c>
      <c r="H894" s="66" t="n">
        <f aca="false">F894/INDEX(Valeurs!$B$2:$B$40,MATCH(E894,Valeurs!$A$2:$A$40,0))*INDEX(Valeurs!$D$2:$D$40,MATCH(E894,Valeurs!$A$2:$A$40,0))</f>
        <v>87</v>
      </c>
      <c r="I894" s="72" t="n">
        <f aca="false">F894/INDEX(Valeurs!$B$2:$B$40,MATCH(E894,Valeurs!$A$2:$A$40,0))*INDEX(Valeurs!$E$2:$E$40,MATCH(E894,Valeurs!$A$2:$A$40,0))</f>
        <v>7.5</v>
      </c>
      <c r="J894" s="64" t="n">
        <v>2</v>
      </c>
    </row>
    <row r="895" customFormat="false" ht="15" hidden="false" customHeight="false" outlineLevel="0" collapsed="false">
      <c r="A895" s="70" t="n">
        <v>46316</v>
      </c>
      <c r="B895" s="64" t="s">
        <v>10</v>
      </c>
      <c r="C895" s="64" t="s">
        <v>11</v>
      </c>
      <c r="D895" s="64" t="s">
        <v>7</v>
      </c>
      <c r="E895" s="64" t="s">
        <v>17</v>
      </c>
      <c r="F895" s="71" t="n">
        <f aca="false">Menu!E493</f>
        <v>2</v>
      </c>
      <c r="G895" s="64" t="s">
        <v>171</v>
      </c>
      <c r="H895" s="66" t="n">
        <f aca="false">F895/INDEX(Valeurs!$B$2:$B$40,MATCH(E895,Valeurs!$A$2:$A$40,0))*INDEX(Valeurs!$D$2:$D$40,MATCH(E895,Valeurs!$A$2:$A$40,0))</f>
        <v>174</v>
      </c>
      <c r="I895" s="72" t="n">
        <f aca="false">F895/INDEX(Valeurs!$B$2:$B$40,MATCH(E895,Valeurs!$A$2:$A$40,0))*INDEX(Valeurs!$E$2:$E$40,MATCH(E895,Valeurs!$A$2:$A$40,0))</f>
        <v>15</v>
      </c>
      <c r="J895" s="64" t="n">
        <v>2</v>
      </c>
    </row>
    <row r="896" customFormat="false" ht="15" hidden="false" customHeight="false" outlineLevel="0" collapsed="false">
      <c r="A896" s="70" t="n">
        <v>46316</v>
      </c>
      <c r="B896" s="64" t="s">
        <v>10</v>
      </c>
      <c r="C896" s="64" t="s">
        <v>11</v>
      </c>
      <c r="D896" s="64" t="s">
        <v>6</v>
      </c>
      <c r="E896" s="64" t="s">
        <v>19</v>
      </c>
      <c r="F896" s="71" t="n">
        <f aca="false">Menu!D494</f>
        <v>0</v>
      </c>
      <c r="G896" s="64" t="s">
        <v>15</v>
      </c>
      <c r="H896" s="66" t="n">
        <f aca="false">F896/INDEX(Valeurs!$B$2:$B$40,MATCH(E896,Valeurs!$A$2:$A$40,0))*INDEX(Valeurs!$D$2:$D$40,MATCH(E896,Valeurs!$A$2:$A$40,0))</f>
        <v>0</v>
      </c>
      <c r="I896" s="72" t="n">
        <f aca="false">F896/INDEX(Valeurs!$B$2:$B$40,MATCH(E896,Valeurs!$A$2:$A$40,0))*INDEX(Valeurs!$E$2:$E$40,MATCH(E896,Valeurs!$A$2:$A$40,0))</f>
        <v>0</v>
      </c>
      <c r="J896" s="64" t="n">
        <v>2</v>
      </c>
    </row>
    <row r="897" customFormat="false" ht="15" hidden="false" customHeight="false" outlineLevel="0" collapsed="false">
      <c r="A897" s="70" t="n">
        <v>46316</v>
      </c>
      <c r="B897" s="64" t="s">
        <v>10</v>
      </c>
      <c r="C897" s="64" t="s">
        <v>11</v>
      </c>
      <c r="D897" s="64" t="s">
        <v>7</v>
      </c>
      <c r="E897" s="64" t="s">
        <v>19</v>
      </c>
      <c r="F897" s="71" t="n">
        <f aca="false">Menu!E494</f>
        <v>30</v>
      </c>
      <c r="G897" s="64" t="s">
        <v>15</v>
      </c>
      <c r="H897" s="66" t="n">
        <f aca="false">F897/INDEX(Valeurs!$B$2:$B$40,MATCH(E897,Valeurs!$A$2:$A$40,0))*INDEX(Valeurs!$D$2:$D$40,MATCH(E897,Valeurs!$A$2:$A$40,0))</f>
        <v>33</v>
      </c>
      <c r="I897" s="72" t="n">
        <f aca="false">F897/INDEX(Valeurs!$B$2:$B$40,MATCH(E897,Valeurs!$A$2:$A$40,0))*INDEX(Valeurs!$E$2:$E$40,MATCH(E897,Valeurs!$A$2:$A$40,0))</f>
        <v>6</v>
      </c>
      <c r="J897" s="64" t="n">
        <v>2</v>
      </c>
    </row>
    <row r="898" customFormat="false" ht="15" hidden="false" customHeight="false" outlineLevel="0" collapsed="false">
      <c r="A898" s="70" t="n">
        <v>46316</v>
      </c>
      <c r="B898" s="64" t="s">
        <v>10</v>
      </c>
      <c r="C898" s="64" t="s">
        <v>11</v>
      </c>
      <c r="D898" s="64" t="s">
        <v>6</v>
      </c>
      <c r="E898" s="64" t="s">
        <v>20</v>
      </c>
      <c r="F898" s="71" t="n">
        <f aca="false">Menu!D495</f>
        <v>0</v>
      </c>
      <c r="G898" s="64" t="s">
        <v>15</v>
      </c>
      <c r="H898" s="66" t="n">
        <f aca="false">F898/INDEX(Valeurs!$B$2:$B$40,MATCH(E898,Valeurs!$A$2:$A$40,0))*INDEX(Valeurs!$D$2:$D$40,MATCH(E898,Valeurs!$A$2:$A$40,0))</f>
        <v>0</v>
      </c>
      <c r="I898" s="72" t="n">
        <f aca="false">F898/INDEX(Valeurs!$B$2:$B$40,MATCH(E898,Valeurs!$A$2:$A$40,0))*INDEX(Valeurs!$E$2:$E$40,MATCH(E898,Valeurs!$A$2:$A$40,0))</f>
        <v>0</v>
      </c>
      <c r="J898" s="64" t="n">
        <v>2</v>
      </c>
    </row>
    <row r="899" customFormat="false" ht="15" hidden="false" customHeight="false" outlineLevel="0" collapsed="false">
      <c r="A899" s="70" t="n">
        <v>46316</v>
      </c>
      <c r="B899" s="64" t="s">
        <v>10</v>
      </c>
      <c r="C899" s="64" t="s">
        <v>11</v>
      </c>
      <c r="D899" s="64" t="s">
        <v>7</v>
      </c>
      <c r="E899" s="64" t="s">
        <v>20</v>
      </c>
      <c r="F899" s="71" t="n">
        <f aca="false">Menu!E495</f>
        <v>80</v>
      </c>
      <c r="G899" s="64" t="s">
        <v>15</v>
      </c>
      <c r="H899" s="66" t="n">
        <f aca="false">F899/INDEX(Valeurs!$B$2:$B$40,MATCH(E899,Valeurs!$A$2:$A$40,0))*INDEX(Valeurs!$D$2:$D$40,MATCH(E899,Valeurs!$A$2:$A$40,0))</f>
        <v>14.4</v>
      </c>
      <c r="I899" s="72" t="n">
        <f aca="false">F899/INDEX(Valeurs!$B$2:$B$40,MATCH(E899,Valeurs!$A$2:$A$40,0))*INDEX(Valeurs!$E$2:$E$40,MATCH(E899,Valeurs!$A$2:$A$40,0))</f>
        <v>0.72</v>
      </c>
      <c r="J899" s="64" t="n">
        <v>2</v>
      </c>
    </row>
    <row r="900" customFormat="false" ht="15" hidden="false" customHeight="false" outlineLevel="0" collapsed="false">
      <c r="A900" s="70" t="n">
        <v>46316</v>
      </c>
      <c r="B900" s="64" t="s">
        <v>10</v>
      </c>
      <c r="C900" s="64" t="s">
        <v>11</v>
      </c>
      <c r="D900" s="64" t="s">
        <v>6</v>
      </c>
      <c r="E900" s="64" t="s">
        <v>21</v>
      </c>
      <c r="F900" s="71" t="n">
        <f aca="false">Menu!D496</f>
        <v>0</v>
      </c>
      <c r="G900" s="64" t="s">
        <v>15</v>
      </c>
      <c r="H900" s="66" t="n">
        <f aca="false">F900/INDEX(Valeurs!$B$2:$B$40,MATCH(E900,Valeurs!$A$2:$A$40,0))*INDEX(Valeurs!$D$2:$D$40,MATCH(E900,Valeurs!$A$2:$A$40,0))</f>
        <v>0</v>
      </c>
      <c r="I900" s="72" t="n">
        <f aca="false">F900/INDEX(Valeurs!$B$2:$B$40,MATCH(E900,Valeurs!$A$2:$A$40,0))*INDEX(Valeurs!$E$2:$E$40,MATCH(E900,Valeurs!$A$2:$A$40,0))</f>
        <v>0</v>
      </c>
      <c r="J900" s="64" t="n">
        <v>2</v>
      </c>
    </row>
    <row r="901" customFormat="false" ht="15" hidden="false" customHeight="false" outlineLevel="0" collapsed="false">
      <c r="A901" s="70" t="n">
        <v>46316</v>
      </c>
      <c r="B901" s="64" t="s">
        <v>10</v>
      </c>
      <c r="C901" s="64" t="s">
        <v>11</v>
      </c>
      <c r="D901" s="64" t="s">
        <v>7</v>
      </c>
      <c r="E901" s="64" t="s">
        <v>21</v>
      </c>
      <c r="F901" s="71" t="n">
        <f aca="false">Menu!E496</f>
        <v>40</v>
      </c>
      <c r="G901" s="64" t="s">
        <v>15</v>
      </c>
      <c r="H901" s="66" t="n">
        <f aca="false">F901/INDEX(Valeurs!$B$2:$B$40,MATCH(E901,Valeurs!$A$2:$A$40,0))*INDEX(Valeurs!$D$2:$D$40,MATCH(E901,Valeurs!$A$2:$A$40,0))</f>
        <v>96</v>
      </c>
      <c r="I901" s="72" t="n">
        <f aca="false">F901/INDEX(Valeurs!$B$2:$B$40,MATCH(E901,Valeurs!$A$2:$A$40,0))*INDEX(Valeurs!$E$2:$E$40,MATCH(E901,Valeurs!$A$2:$A$40,0))</f>
        <v>3.6</v>
      </c>
      <c r="J901" s="64" t="n">
        <v>2</v>
      </c>
    </row>
    <row r="902" customFormat="false" ht="15" hidden="false" customHeight="false" outlineLevel="0" collapsed="false">
      <c r="A902" s="70" t="n">
        <v>46316</v>
      </c>
      <c r="B902" s="64" t="s">
        <v>10</v>
      </c>
      <c r="C902" s="64" t="s">
        <v>11</v>
      </c>
      <c r="D902" s="64" t="s">
        <v>6</v>
      </c>
      <c r="E902" s="64" t="s">
        <v>22</v>
      </c>
      <c r="F902" s="71" t="n">
        <f aca="false">Menu!D497</f>
        <v>0</v>
      </c>
      <c r="G902" s="64" t="s">
        <v>15</v>
      </c>
      <c r="H902" s="66" t="n">
        <f aca="false">F902/INDEX(Valeurs!$B$2:$B$40,MATCH(E902,Valeurs!$A$2:$A$40,0))*INDEX(Valeurs!$D$2:$D$40,MATCH(E902,Valeurs!$A$2:$A$40,0))</f>
        <v>0</v>
      </c>
      <c r="I902" s="72" t="n">
        <f aca="false">F902/INDEX(Valeurs!$B$2:$B$40,MATCH(E902,Valeurs!$A$2:$A$40,0))*INDEX(Valeurs!$E$2:$E$40,MATCH(E902,Valeurs!$A$2:$A$40,0))</f>
        <v>0</v>
      </c>
      <c r="J902" s="64" t="n">
        <v>2</v>
      </c>
    </row>
    <row r="903" customFormat="false" ht="15" hidden="false" customHeight="false" outlineLevel="0" collapsed="false">
      <c r="A903" s="70" t="n">
        <v>46316</v>
      </c>
      <c r="B903" s="64" t="s">
        <v>10</v>
      </c>
      <c r="C903" s="64" t="s">
        <v>11</v>
      </c>
      <c r="D903" s="64" t="s">
        <v>7</v>
      </c>
      <c r="E903" s="64" t="s">
        <v>22</v>
      </c>
      <c r="F903" s="71" t="n">
        <f aca="false">Menu!E497</f>
        <v>150</v>
      </c>
      <c r="G903" s="64" t="s">
        <v>15</v>
      </c>
      <c r="H903" s="66" t="n">
        <f aca="false">F903/INDEX(Valeurs!$B$2:$B$40,MATCH(E903,Valeurs!$A$2:$A$40,0))*INDEX(Valeurs!$D$2:$D$40,MATCH(E903,Valeurs!$A$2:$A$40,0))</f>
        <v>78</v>
      </c>
      <c r="I903" s="72" t="n">
        <f aca="false">F903/INDEX(Valeurs!$B$2:$B$40,MATCH(E903,Valeurs!$A$2:$A$40,0))*INDEX(Valeurs!$E$2:$E$40,MATCH(E903,Valeurs!$A$2:$A$40,0))</f>
        <v>0.45</v>
      </c>
      <c r="J903" s="64" t="n">
        <v>2</v>
      </c>
    </row>
    <row r="904" customFormat="false" ht="15" hidden="false" customHeight="false" outlineLevel="0" collapsed="false">
      <c r="A904" s="70" t="n">
        <v>46316</v>
      </c>
      <c r="B904" s="64" t="s">
        <v>23</v>
      </c>
      <c r="C904" s="64" t="s">
        <v>115</v>
      </c>
      <c r="D904" s="64" t="s">
        <v>6</v>
      </c>
      <c r="E904" s="64" t="s">
        <v>17</v>
      </c>
      <c r="F904" s="71" t="n">
        <f aca="false">Menu!D498</f>
        <v>3</v>
      </c>
      <c r="G904" s="64" t="s">
        <v>171</v>
      </c>
      <c r="H904" s="66" t="n">
        <f aca="false">F904/INDEX(Valeurs!$B$2:$B$40,MATCH(E904,Valeurs!$A$2:$A$40,0))*INDEX(Valeurs!$D$2:$D$40,MATCH(E904,Valeurs!$A$2:$A$40,0))</f>
        <v>261</v>
      </c>
      <c r="I904" s="72" t="n">
        <f aca="false">F904/INDEX(Valeurs!$B$2:$B$40,MATCH(E904,Valeurs!$A$2:$A$40,0))*INDEX(Valeurs!$E$2:$E$40,MATCH(E904,Valeurs!$A$2:$A$40,0))</f>
        <v>22.5</v>
      </c>
      <c r="J904" s="64" t="n">
        <v>2</v>
      </c>
    </row>
    <row r="905" customFormat="false" ht="15" hidden="false" customHeight="false" outlineLevel="0" collapsed="false">
      <c r="A905" s="70" t="n">
        <v>46316</v>
      </c>
      <c r="B905" s="64" t="s">
        <v>23</v>
      </c>
      <c r="C905" s="64" t="s">
        <v>115</v>
      </c>
      <c r="D905" s="64" t="s">
        <v>7</v>
      </c>
      <c r="E905" s="64" t="s">
        <v>17</v>
      </c>
      <c r="F905" s="71" t="n">
        <f aca="false">Menu!E498</f>
        <v>2</v>
      </c>
      <c r="G905" s="64" t="s">
        <v>171</v>
      </c>
      <c r="H905" s="66" t="n">
        <f aca="false">F905/INDEX(Valeurs!$B$2:$B$40,MATCH(E905,Valeurs!$A$2:$A$40,0))*INDEX(Valeurs!$D$2:$D$40,MATCH(E905,Valeurs!$A$2:$A$40,0))</f>
        <v>174</v>
      </c>
      <c r="I905" s="72" t="n">
        <f aca="false">F905/INDEX(Valeurs!$B$2:$B$40,MATCH(E905,Valeurs!$A$2:$A$40,0))*INDEX(Valeurs!$E$2:$E$40,MATCH(E905,Valeurs!$A$2:$A$40,0))</f>
        <v>15</v>
      </c>
      <c r="J905" s="64" t="n">
        <v>2</v>
      </c>
    </row>
    <row r="906" customFormat="false" ht="15" hidden="false" customHeight="false" outlineLevel="0" collapsed="false">
      <c r="A906" s="70" t="n">
        <v>46316</v>
      </c>
      <c r="B906" s="64" t="s">
        <v>23</v>
      </c>
      <c r="C906" s="64" t="s">
        <v>115</v>
      </c>
      <c r="D906" s="64" t="s">
        <v>6</v>
      </c>
      <c r="E906" s="64" t="s">
        <v>26</v>
      </c>
      <c r="F906" s="71" t="n">
        <f aca="false">Menu!D499</f>
        <v>300</v>
      </c>
      <c r="G906" s="64" t="s">
        <v>15</v>
      </c>
      <c r="H906" s="66" t="n">
        <f aca="false">F906/INDEX(Valeurs!$B$2:$B$40,MATCH(E906,Valeurs!$A$2:$A$40,0))*INDEX(Valeurs!$D$2:$D$40,MATCH(E906,Valeurs!$A$2:$A$40,0))</f>
        <v>240</v>
      </c>
      <c r="I906" s="72" t="n">
        <f aca="false">F906/INDEX(Valeurs!$B$2:$B$40,MATCH(E906,Valeurs!$A$2:$A$40,0))*INDEX(Valeurs!$E$2:$E$40,MATCH(E906,Valeurs!$A$2:$A$40,0))</f>
        <v>6</v>
      </c>
      <c r="J906" s="64" t="n">
        <v>2</v>
      </c>
    </row>
    <row r="907" customFormat="false" ht="15" hidden="false" customHeight="false" outlineLevel="0" collapsed="false">
      <c r="A907" s="70" t="n">
        <v>46316</v>
      </c>
      <c r="B907" s="64" t="s">
        <v>23</v>
      </c>
      <c r="C907" s="64" t="s">
        <v>115</v>
      </c>
      <c r="D907" s="64" t="s">
        <v>7</v>
      </c>
      <c r="E907" s="64" t="s">
        <v>26</v>
      </c>
      <c r="F907" s="71" t="n">
        <f aca="false">Menu!E499</f>
        <v>110</v>
      </c>
      <c r="G907" s="64" t="s">
        <v>15</v>
      </c>
      <c r="H907" s="66" t="n">
        <f aca="false">F907/INDEX(Valeurs!$B$2:$B$40,MATCH(E907,Valeurs!$A$2:$A$40,0))*INDEX(Valeurs!$D$2:$D$40,MATCH(E907,Valeurs!$A$2:$A$40,0))</f>
        <v>88</v>
      </c>
      <c r="I907" s="72" t="n">
        <f aca="false">F907/INDEX(Valeurs!$B$2:$B$40,MATCH(E907,Valeurs!$A$2:$A$40,0))*INDEX(Valeurs!$E$2:$E$40,MATCH(E907,Valeurs!$A$2:$A$40,0))</f>
        <v>2.2</v>
      </c>
      <c r="J907" s="64" t="n">
        <v>2</v>
      </c>
    </row>
    <row r="908" customFormat="false" ht="15" hidden="false" customHeight="false" outlineLevel="0" collapsed="false">
      <c r="A908" s="70" t="n">
        <v>46316</v>
      </c>
      <c r="B908" s="64" t="s">
        <v>23</v>
      </c>
      <c r="C908" s="64" t="s">
        <v>115</v>
      </c>
      <c r="D908" s="64" t="s">
        <v>6</v>
      </c>
      <c r="E908" s="64" t="s">
        <v>33</v>
      </c>
      <c r="F908" s="71" t="n">
        <f aca="false">Menu!D500</f>
        <v>150</v>
      </c>
      <c r="G908" s="64" t="s">
        <v>15</v>
      </c>
      <c r="H908" s="66" t="n">
        <f aca="false">F908/INDEX(Valeurs!$B$2:$B$40,MATCH(E908,Valeurs!$A$2:$A$40,0))*INDEX(Valeurs!$D$2:$D$40,MATCH(E908,Valeurs!$A$2:$A$40,0))</f>
        <v>25.5</v>
      </c>
      <c r="I908" s="72" t="n">
        <f aca="false">F908/INDEX(Valeurs!$B$2:$B$40,MATCH(E908,Valeurs!$A$2:$A$40,0))*INDEX(Valeurs!$E$2:$E$40,MATCH(E908,Valeurs!$A$2:$A$40,0))</f>
        <v>1.8</v>
      </c>
      <c r="J908" s="64" t="n">
        <v>2</v>
      </c>
    </row>
    <row r="909" customFormat="false" ht="15" hidden="false" customHeight="false" outlineLevel="0" collapsed="false">
      <c r="A909" s="70" t="n">
        <v>46316</v>
      </c>
      <c r="B909" s="64" t="s">
        <v>23</v>
      </c>
      <c r="C909" s="64" t="s">
        <v>115</v>
      </c>
      <c r="D909" s="64" t="s">
        <v>7</v>
      </c>
      <c r="E909" s="64" t="s">
        <v>33</v>
      </c>
      <c r="F909" s="71" t="n">
        <f aca="false">Menu!E500</f>
        <v>170</v>
      </c>
      <c r="G909" s="64" t="s">
        <v>15</v>
      </c>
      <c r="H909" s="66" t="n">
        <f aca="false">F909/INDEX(Valeurs!$B$2:$B$40,MATCH(E909,Valeurs!$A$2:$A$40,0))*INDEX(Valeurs!$D$2:$D$40,MATCH(E909,Valeurs!$A$2:$A$40,0))</f>
        <v>28.9</v>
      </c>
      <c r="I909" s="72" t="n">
        <f aca="false">F909/INDEX(Valeurs!$B$2:$B$40,MATCH(E909,Valeurs!$A$2:$A$40,0))*INDEX(Valeurs!$E$2:$E$40,MATCH(E909,Valeurs!$A$2:$A$40,0))</f>
        <v>2.04</v>
      </c>
      <c r="J909" s="64" t="n">
        <v>2</v>
      </c>
    </row>
    <row r="910" customFormat="false" ht="15" hidden="false" customHeight="false" outlineLevel="0" collapsed="false">
      <c r="A910" s="70" t="n">
        <v>46316</v>
      </c>
      <c r="B910" s="64" t="s">
        <v>23</v>
      </c>
      <c r="C910" s="64" t="s">
        <v>115</v>
      </c>
      <c r="D910" s="64" t="s">
        <v>6</v>
      </c>
      <c r="E910" s="64" t="s">
        <v>20</v>
      </c>
      <c r="F910" s="71" t="n">
        <f aca="false">Menu!D501</f>
        <v>100</v>
      </c>
      <c r="G910" s="64" t="s">
        <v>15</v>
      </c>
      <c r="H910" s="66" t="n">
        <f aca="false">F910/INDEX(Valeurs!$B$2:$B$40,MATCH(E910,Valeurs!$A$2:$A$40,0))*INDEX(Valeurs!$D$2:$D$40,MATCH(E910,Valeurs!$A$2:$A$40,0))</f>
        <v>18</v>
      </c>
      <c r="I910" s="72" t="n">
        <f aca="false">F910/INDEX(Valeurs!$B$2:$B$40,MATCH(E910,Valeurs!$A$2:$A$40,0))*INDEX(Valeurs!$E$2:$E$40,MATCH(E910,Valeurs!$A$2:$A$40,0))</f>
        <v>0.9</v>
      </c>
      <c r="J910" s="64" t="n">
        <v>2</v>
      </c>
    </row>
    <row r="911" customFormat="false" ht="15" hidden="false" customHeight="false" outlineLevel="0" collapsed="false">
      <c r="A911" s="70" t="n">
        <v>46316</v>
      </c>
      <c r="B911" s="64" t="s">
        <v>23</v>
      </c>
      <c r="C911" s="64" t="s">
        <v>115</v>
      </c>
      <c r="D911" s="64" t="s">
        <v>7</v>
      </c>
      <c r="E911" s="64" t="s">
        <v>20</v>
      </c>
      <c r="F911" s="71" t="n">
        <f aca="false">Menu!E501</f>
        <v>130</v>
      </c>
      <c r="G911" s="64" t="s">
        <v>15</v>
      </c>
      <c r="H911" s="66" t="n">
        <f aca="false">F911/INDEX(Valeurs!$B$2:$B$40,MATCH(E911,Valeurs!$A$2:$A$40,0))*INDEX(Valeurs!$D$2:$D$40,MATCH(E911,Valeurs!$A$2:$A$40,0))</f>
        <v>23.4</v>
      </c>
      <c r="I911" s="72" t="n">
        <f aca="false">F911/INDEX(Valeurs!$B$2:$B$40,MATCH(E911,Valeurs!$A$2:$A$40,0))*INDEX(Valeurs!$E$2:$E$40,MATCH(E911,Valeurs!$A$2:$A$40,0))</f>
        <v>1.17</v>
      </c>
      <c r="J911" s="64" t="n">
        <v>2</v>
      </c>
    </row>
    <row r="912" customFormat="false" ht="15" hidden="false" customHeight="false" outlineLevel="0" collapsed="false">
      <c r="A912" s="70" t="n">
        <v>46316</v>
      </c>
      <c r="B912" s="64" t="s">
        <v>23</v>
      </c>
      <c r="C912" s="64" t="s">
        <v>115</v>
      </c>
      <c r="D912" s="64" t="s">
        <v>6</v>
      </c>
      <c r="E912" s="64" t="s">
        <v>46</v>
      </c>
      <c r="F912" s="71" t="n">
        <f aca="false">Menu!D502</f>
        <v>40</v>
      </c>
      <c r="G912" s="64" t="s">
        <v>15</v>
      </c>
      <c r="H912" s="66" t="n">
        <f aca="false">F912/INDEX(Valeurs!$B$2:$B$40,MATCH(E912,Valeurs!$A$2:$A$40,0))*INDEX(Valeurs!$D$2:$D$40,MATCH(E912,Valeurs!$A$2:$A$40,0))</f>
        <v>6</v>
      </c>
      <c r="I912" s="72" t="n">
        <f aca="false">F912/INDEX(Valeurs!$B$2:$B$40,MATCH(E912,Valeurs!$A$2:$A$40,0))*INDEX(Valeurs!$E$2:$E$40,MATCH(E912,Valeurs!$A$2:$A$40,0))</f>
        <v>0.56</v>
      </c>
      <c r="J912" s="64" t="n">
        <v>2</v>
      </c>
    </row>
    <row r="913" customFormat="false" ht="15" hidden="false" customHeight="false" outlineLevel="0" collapsed="false">
      <c r="A913" s="70" t="n">
        <v>46316</v>
      </c>
      <c r="B913" s="64" t="s">
        <v>23</v>
      </c>
      <c r="C913" s="64" t="s">
        <v>115</v>
      </c>
      <c r="D913" s="64" t="s">
        <v>7</v>
      </c>
      <c r="E913" s="64" t="s">
        <v>46</v>
      </c>
      <c r="F913" s="71" t="n">
        <f aca="false">Menu!E502</f>
        <v>60</v>
      </c>
      <c r="G913" s="64" t="s">
        <v>15</v>
      </c>
      <c r="H913" s="66" t="n">
        <f aca="false">F913/INDEX(Valeurs!$B$2:$B$40,MATCH(E913,Valeurs!$A$2:$A$40,0))*INDEX(Valeurs!$D$2:$D$40,MATCH(E913,Valeurs!$A$2:$A$40,0))</f>
        <v>9</v>
      </c>
      <c r="I913" s="72" t="n">
        <f aca="false">F913/INDEX(Valeurs!$B$2:$B$40,MATCH(E913,Valeurs!$A$2:$A$40,0))*INDEX(Valeurs!$E$2:$E$40,MATCH(E913,Valeurs!$A$2:$A$40,0))</f>
        <v>0.84</v>
      </c>
      <c r="J913" s="64" t="n">
        <v>2</v>
      </c>
    </row>
    <row r="914" customFormat="false" ht="15" hidden="false" customHeight="false" outlineLevel="0" collapsed="false">
      <c r="A914" s="70" t="n">
        <v>46316</v>
      </c>
      <c r="B914" s="64" t="s">
        <v>23</v>
      </c>
      <c r="C914" s="64" t="s">
        <v>115</v>
      </c>
      <c r="D914" s="64" t="s">
        <v>6</v>
      </c>
      <c r="E914" s="64" t="s">
        <v>35</v>
      </c>
      <c r="F914" s="71" t="n">
        <f aca="false">Menu!D503</f>
        <v>20</v>
      </c>
      <c r="G914" s="64" t="s">
        <v>15</v>
      </c>
      <c r="H914" s="66" t="n">
        <f aca="false">F914/INDEX(Valeurs!$B$2:$B$40,MATCH(E914,Valeurs!$A$2:$A$40,0))*INDEX(Valeurs!$D$2:$D$40,MATCH(E914,Valeurs!$A$2:$A$40,0))</f>
        <v>8</v>
      </c>
      <c r="I914" s="72" t="n">
        <f aca="false">F914/INDEX(Valeurs!$B$2:$B$40,MATCH(E914,Valeurs!$A$2:$A$40,0))*INDEX(Valeurs!$E$2:$E$40,MATCH(E914,Valeurs!$A$2:$A$40,0))</f>
        <v>0.22</v>
      </c>
      <c r="J914" s="64" t="n">
        <v>2</v>
      </c>
    </row>
    <row r="915" customFormat="false" ht="15" hidden="false" customHeight="false" outlineLevel="0" collapsed="false">
      <c r="A915" s="70" t="n">
        <v>46316</v>
      </c>
      <c r="B915" s="64" t="s">
        <v>23</v>
      </c>
      <c r="C915" s="64" t="s">
        <v>115</v>
      </c>
      <c r="D915" s="64" t="s">
        <v>7</v>
      </c>
      <c r="E915" s="64" t="s">
        <v>35</v>
      </c>
      <c r="F915" s="71" t="n">
        <f aca="false">Menu!E503</f>
        <v>20</v>
      </c>
      <c r="G915" s="64" t="s">
        <v>15</v>
      </c>
      <c r="H915" s="66" t="n">
        <f aca="false">F915/INDEX(Valeurs!$B$2:$B$40,MATCH(E915,Valeurs!$A$2:$A$40,0))*INDEX(Valeurs!$D$2:$D$40,MATCH(E915,Valeurs!$A$2:$A$40,0))</f>
        <v>8</v>
      </c>
      <c r="I915" s="72" t="n">
        <f aca="false">F915/INDEX(Valeurs!$B$2:$B$40,MATCH(E915,Valeurs!$A$2:$A$40,0))*INDEX(Valeurs!$E$2:$E$40,MATCH(E915,Valeurs!$A$2:$A$40,0))</f>
        <v>0.22</v>
      </c>
      <c r="J915" s="64" t="n">
        <v>2</v>
      </c>
    </row>
    <row r="916" customFormat="false" ht="15" hidden="false" customHeight="false" outlineLevel="0" collapsed="false">
      <c r="A916" s="70" t="n">
        <v>46316</v>
      </c>
      <c r="B916" s="64" t="s">
        <v>23</v>
      </c>
      <c r="C916" s="64" t="s">
        <v>115</v>
      </c>
      <c r="D916" s="64" t="s">
        <v>6</v>
      </c>
      <c r="E916" s="64" t="s">
        <v>28</v>
      </c>
      <c r="F916" s="71" t="n">
        <f aca="false">Menu!D504</f>
        <v>8</v>
      </c>
      <c r="G916" s="64" t="s">
        <v>15</v>
      </c>
      <c r="H916" s="66" t="n">
        <f aca="false">F916/INDEX(Valeurs!$B$2:$B$40,MATCH(E916,Valeurs!$A$2:$A$40,0))*INDEX(Valeurs!$D$2:$D$40,MATCH(E916,Valeurs!$A$2:$A$40,0))</f>
        <v>72</v>
      </c>
      <c r="I916" s="72" t="n">
        <f aca="false">F916/INDEX(Valeurs!$B$2:$B$40,MATCH(E916,Valeurs!$A$2:$A$40,0))*INDEX(Valeurs!$E$2:$E$40,MATCH(E916,Valeurs!$A$2:$A$40,0))</f>
        <v>0</v>
      </c>
      <c r="J916" s="64" t="n">
        <v>2</v>
      </c>
    </row>
    <row r="917" customFormat="false" ht="15" hidden="false" customHeight="false" outlineLevel="0" collapsed="false">
      <c r="A917" s="70" t="n">
        <v>46316</v>
      </c>
      <c r="B917" s="64" t="s">
        <v>23</v>
      </c>
      <c r="C917" s="64" t="s">
        <v>115</v>
      </c>
      <c r="D917" s="64" t="s">
        <v>7</v>
      </c>
      <c r="E917" s="64" t="s">
        <v>28</v>
      </c>
      <c r="F917" s="71" t="n">
        <f aca="false">Menu!E504</f>
        <v>6</v>
      </c>
      <c r="G917" s="64" t="s">
        <v>15</v>
      </c>
      <c r="H917" s="66" t="n">
        <f aca="false">F917/INDEX(Valeurs!$B$2:$B$40,MATCH(E917,Valeurs!$A$2:$A$40,0))*INDEX(Valeurs!$D$2:$D$40,MATCH(E917,Valeurs!$A$2:$A$40,0))</f>
        <v>54</v>
      </c>
      <c r="I917" s="72" t="n">
        <f aca="false">F917/INDEX(Valeurs!$B$2:$B$40,MATCH(E917,Valeurs!$A$2:$A$40,0))*INDEX(Valeurs!$E$2:$E$40,MATCH(E917,Valeurs!$A$2:$A$40,0))</f>
        <v>0</v>
      </c>
      <c r="J917" s="64" t="n">
        <v>2</v>
      </c>
    </row>
    <row r="918" customFormat="false" ht="15" hidden="false" customHeight="false" outlineLevel="0" collapsed="false">
      <c r="A918" s="70" t="n">
        <v>46316</v>
      </c>
      <c r="B918" s="64" t="s">
        <v>29</v>
      </c>
      <c r="C918" s="64" t="s">
        <v>116</v>
      </c>
      <c r="D918" s="64" t="s">
        <v>6</v>
      </c>
      <c r="E918" s="64" t="s">
        <v>31</v>
      </c>
      <c r="F918" s="71" t="n">
        <f aca="false">Menu!D505</f>
        <v>150</v>
      </c>
      <c r="G918" s="64" t="s">
        <v>15</v>
      </c>
      <c r="H918" s="66" t="n">
        <f aca="false">F918/INDEX(Valeurs!$B$2:$B$40,MATCH(E918,Valeurs!$A$2:$A$40,0))*INDEX(Valeurs!$D$2:$D$40,MATCH(E918,Valeurs!$A$2:$A$40,0))</f>
        <v>120</v>
      </c>
      <c r="I918" s="72" t="n">
        <f aca="false">F918/INDEX(Valeurs!$B$2:$B$40,MATCH(E918,Valeurs!$A$2:$A$40,0))*INDEX(Valeurs!$E$2:$E$40,MATCH(E918,Valeurs!$A$2:$A$40,0))</f>
        <v>25.5</v>
      </c>
      <c r="J918" s="64" t="n">
        <v>2</v>
      </c>
    </row>
    <row r="919" customFormat="false" ht="15" hidden="false" customHeight="false" outlineLevel="0" collapsed="false">
      <c r="A919" s="70" t="n">
        <v>46316</v>
      </c>
      <c r="B919" s="64" t="s">
        <v>29</v>
      </c>
      <c r="C919" s="64" t="s">
        <v>116</v>
      </c>
      <c r="D919" s="64" t="s">
        <v>7</v>
      </c>
      <c r="E919" s="64" t="s">
        <v>31</v>
      </c>
      <c r="F919" s="71" t="n">
        <f aca="false">Menu!E505</f>
        <v>125</v>
      </c>
      <c r="G919" s="64" t="s">
        <v>15</v>
      </c>
      <c r="H919" s="66" t="n">
        <f aca="false">F919/INDEX(Valeurs!$B$2:$B$40,MATCH(E919,Valeurs!$A$2:$A$40,0))*INDEX(Valeurs!$D$2:$D$40,MATCH(E919,Valeurs!$A$2:$A$40,0))</f>
        <v>100</v>
      </c>
      <c r="I919" s="72" t="n">
        <f aca="false">F919/INDEX(Valeurs!$B$2:$B$40,MATCH(E919,Valeurs!$A$2:$A$40,0))*INDEX(Valeurs!$E$2:$E$40,MATCH(E919,Valeurs!$A$2:$A$40,0))</f>
        <v>21.25</v>
      </c>
      <c r="J919" s="64" t="n">
        <v>2</v>
      </c>
    </row>
    <row r="920" customFormat="false" ht="15" hidden="false" customHeight="false" outlineLevel="0" collapsed="false">
      <c r="A920" s="70" t="n">
        <v>46316</v>
      </c>
      <c r="B920" s="64" t="s">
        <v>29</v>
      </c>
      <c r="C920" s="64" t="s">
        <v>116</v>
      </c>
      <c r="D920" s="64" t="s">
        <v>6</v>
      </c>
      <c r="E920" s="64" t="s">
        <v>32</v>
      </c>
      <c r="F920" s="71" t="n">
        <f aca="false">Menu!D506</f>
        <v>300</v>
      </c>
      <c r="G920" s="64" t="s">
        <v>15</v>
      </c>
      <c r="H920" s="66" t="n">
        <f aca="false">F920/INDEX(Valeurs!$B$2:$B$40,MATCH(E920,Valeurs!$A$2:$A$40,0))*INDEX(Valeurs!$D$2:$D$40,MATCH(E920,Valeurs!$A$2:$A$40,0))</f>
        <v>258</v>
      </c>
      <c r="I920" s="72" t="n">
        <f aca="false">F920/INDEX(Valeurs!$B$2:$B$40,MATCH(E920,Valeurs!$A$2:$A$40,0))*INDEX(Valeurs!$E$2:$E$40,MATCH(E920,Valeurs!$A$2:$A$40,0))</f>
        <v>4.8</v>
      </c>
      <c r="J920" s="64" t="n">
        <v>2</v>
      </c>
    </row>
    <row r="921" customFormat="false" ht="15" hidden="false" customHeight="false" outlineLevel="0" collapsed="false">
      <c r="A921" s="70" t="n">
        <v>46316</v>
      </c>
      <c r="B921" s="64" t="s">
        <v>29</v>
      </c>
      <c r="C921" s="64" t="s">
        <v>116</v>
      </c>
      <c r="D921" s="64" t="s">
        <v>7</v>
      </c>
      <c r="E921" s="64" t="s">
        <v>32</v>
      </c>
      <c r="F921" s="71" t="n">
        <f aca="false">Menu!E506</f>
        <v>140</v>
      </c>
      <c r="G921" s="64" t="s">
        <v>15</v>
      </c>
      <c r="H921" s="66" t="n">
        <f aca="false">F921/INDEX(Valeurs!$B$2:$B$40,MATCH(E921,Valeurs!$A$2:$A$40,0))*INDEX(Valeurs!$D$2:$D$40,MATCH(E921,Valeurs!$A$2:$A$40,0))</f>
        <v>120.4</v>
      </c>
      <c r="I921" s="72" t="n">
        <f aca="false">F921/INDEX(Valeurs!$B$2:$B$40,MATCH(E921,Valeurs!$A$2:$A$40,0))*INDEX(Valeurs!$E$2:$E$40,MATCH(E921,Valeurs!$A$2:$A$40,0))</f>
        <v>2.24</v>
      </c>
      <c r="J921" s="64" t="n">
        <v>2</v>
      </c>
    </row>
    <row r="922" customFormat="false" ht="15" hidden="false" customHeight="false" outlineLevel="0" collapsed="false">
      <c r="A922" s="70" t="n">
        <v>46316</v>
      </c>
      <c r="B922" s="64" t="s">
        <v>29</v>
      </c>
      <c r="C922" s="64" t="s">
        <v>116</v>
      </c>
      <c r="D922" s="64" t="s">
        <v>6</v>
      </c>
      <c r="E922" s="64" t="s">
        <v>27</v>
      </c>
      <c r="F922" s="71" t="n">
        <f aca="false">Menu!D507</f>
        <v>250</v>
      </c>
      <c r="G922" s="64" t="s">
        <v>15</v>
      </c>
      <c r="H922" s="66" t="n">
        <f aca="false">F922/INDEX(Valeurs!$B$2:$B$40,MATCH(E922,Valeurs!$A$2:$A$40,0))*INDEX(Valeurs!$D$2:$D$40,MATCH(E922,Valeurs!$A$2:$A$40,0))</f>
        <v>77.5</v>
      </c>
      <c r="I922" s="72" t="n">
        <f aca="false">F922/INDEX(Valeurs!$B$2:$B$40,MATCH(E922,Valeurs!$A$2:$A$40,0))*INDEX(Valeurs!$E$2:$E$40,MATCH(E922,Valeurs!$A$2:$A$40,0))</f>
        <v>4.5</v>
      </c>
      <c r="J922" s="64" t="n">
        <v>2</v>
      </c>
    </row>
    <row r="923" customFormat="false" ht="15" hidden="false" customHeight="false" outlineLevel="0" collapsed="false">
      <c r="A923" s="70" t="n">
        <v>46316</v>
      </c>
      <c r="B923" s="64" t="s">
        <v>29</v>
      </c>
      <c r="C923" s="64" t="s">
        <v>116</v>
      </c>
      <c r="D923" s="64" t="s">
        <v>7</v>
      </c>
      <c r="E923" s="64" t="s">
        <v>27</v>
      </c>
      <c r="F923" s="71" t="n">
        <f aca="false">Menu!E507</f>
        <v>280</v>
      </c>
      <c r="G923" s="64" t="s">
        <v>15</v>
      </c>
      <c r="H923" s="66" t="n">
        <f aca="false">F923/INDEX(Valeurs!$B$2:$B$40,MATCH(E923,Valeurs!$A$2:$A$40,0))*INDEX(Valeurs!$D$2:$D$40,MATCH(E923,Valeurs!$A$2:$A$40,0))</f>
        <v>86.8</v>
      </c>
      <c r="I923" s="72" t="n">
        <f aca="false">F923/INDEX(Valeurs!$B$2:$B$40,MATCH(E923,Valeurs!$A$2:$A$40,0))*INDEX(Valeurs!$E$2:$E$40,MATCH(E923,Valeurs!$A$2:$A$40,0))</f>
        <v>5.04</v>
      </c>
      <c r="J923" s="64" t="n">
        <v>2</v>
      </c>
    </row>
    <row r="924" customFormat="false" ht="15" hidden="false" customHeight="false" outlineLevel="0" collapsed="false">
      <c r="A924" s="70" t="n">
        <v>46316</v>
      </c>
      <c r="B924" s="64" t="s">
        <v>29</v>
      </c>
      <c r="C924" s="64" t="s">
        <v>116</v>
      </c>
      <c r="D924" s="64" t="s">
        <v>6</v>
      </c>
      <c r="E924" s="64" t="s">
        <v>28</v>
      </c>
      <c r="F924" s="71" t="n">
        <f aca="false">Menu!D508</f>
        <v>10</v>
      </c>
      <c r="G924" s="64" t="s">
        <v>15</v>
      </c>
      <c r="H924" s="66" t="n">
        <f aca="false">F924/INDEX(Valeurs!$B$2:$B$40,MATCH(E924,Valeurs!$A$2:$A$40,0))*INDEX(Valeurs!$D$2:$D$40,MATCH(E924,Valeurs!$A$2:$A$40,0))</f>
        <v>90</v>
      </c>
      <c r="I924" s="72" t="n">
        <f aca="false">F924/INDEX(Valeurs!$B$2:$B$40,MATCH(E924,Valeurs!$A$2:$A$40,0))*INDEX(Valeurs!$E$2:$E$40,MATCH(E924,Valeurs!$A$2:$A$40,0))</f>
        <v>0</v>
      </c>
      <c r="J924" s="64" t="n">
        <v>2</v>
      </c>
    </row>
    <row r="925" customFormat="false" ht="15" hidden="false" customHeight="false" outlineLevel="0" collapsed="false">
      <c r="A925" s="70" t="n">
        <v>46316</v>
      </c>
      <c r="B925" s="64" t="s">
        <v>29</v>
      </c>
      <c r="C925" s="64" t="s">
        <v>116</v>
      </c>
      <c r="D925" s="64" t="s">
        <v>7</v>
      </c>
      <c r="E925" s="64" t="s">
        <v>28</v>
      </c>
      <c r="F925" s="71" t="n">
        <f aca="false">Menu!E508</f>
        <v>7</v>
      </c>
      <c r="G925" s="64" t="s">
        <v>15</v>
      </c>
      <c r="H925" s="66" t="n">
        <f aca="false">F925/INDEX(Valeurs!$B$2:$B$40,MATCH(E925,Valeurs!$A$2:$A$40,0))*INDEX(Valeurs!$D$2:$D$40,MATCH(E925,Valeurs!$A$2:$A$40,0))</f>
        <v>63</v>
      </c>
      <c r="I925" s="72" t="n">
        <f aca="false">F925/INDEX(Valeurs!$B$2:$B$40,MATCH(E925,Valeurs!$A$2:$A$40,0))*INDEX(Valeurs!$E$2:$E$40,MATCH(E925,Valeurs!$A$2:$A$40,0))</f>
        <v>0</v>
      </c>
      <c r="J925" s="64" t="n">
        <v>2</v>
      </c>
    </row>
    <row r="926" customFormat="false" ht="15" hidden="false" customHeight="false" outlineLevel="0" collapsed="false">
      <c r="A926" s="70" t="n">
        <v>46316</v>
      </c>
      <c r="B926" s="64" t="s">
        <v>36</v>
      </c>
      <c r="C926" s="64" t="s">
        <v>37</v>
      </c>
      <c r="D926" s="64" t="s">
        <v>6</v>
      </c>
      <c r="E926" s="64" t="s">
        <v>38</v>
      </c>
      <c r="F926" s="71" t="n">
        <f aca="false">Menu!D509</f>
        <v>125</v>
      </c>
      <c r="G926" s="64" t="s">
        <v>15</v>
      </c>
      <c r="H926" s="66" t="n">
        <f aca="false">F926/INDEX(Valeurs!$B$2:$B$40,MATCH(E926,Valeurs!$A$2:$A$40,0))*INDEX(Valeurs!$D$2:$D$40,MATCH(E926,Valeurs!$A$2:$A$40,0))</f>
        <v>75</v>
      </c>
      <c r="I926" s="72" t="n">
        <f aca="false">F926/INDEX(Valeurs!$B$2:$B$40,MATCH(E926,Valeurs!$A$2:$A$40,0))*INDEX(Valeurs!$E$2:$E$40,MATCH(E926,Valeurs!$A$2:$A$40,0))</f>
        <v>5.625</v>
      </c>
      <c r="J926" s="64" t="n">
        <v>2</v>
      </c>
    </row>
    <row r="927" customFormat="false" ht="15" hidden="false" customHeight="false" outlineLevel="0" collapsed="false">
      <c r="A927" s="70" t="n">
        <v>46316</v>
      </c>
      <c r="B927" s="64" t="s">
        <v>36</v>
      </c>
      <c r="C927" s="64" t="s">
        <v>37</v>
      </c>
      <c r="D927" s="64" t="s">
        <v>7</v>
      </c>
      <c r="E927" s="64" t="s">
        <v>38</v>
      </c>
      <c r="F927" s="71" t="n">
        <f aca="false">Menu!E509</f>
        <v>125</v>
      </c>
      <c r="G927" s="64" t="s">
        <v>15</v>
      </c>
      <c r="H927" s="66" t="n">
        <f aca="false">F927/INDEX(Valeurs!$B$2:$B$40,MATCH(E927,Valeurs!$A$2:$A$40,0))*INDEX(Valeurs!$D$2:$D$40,MATCH(E927,Valeurs!$A$2:$A$40,0))</f>
        <v>75</v>
      </c>
      <c r="I927" s="72" t="n">
        <f aca="false">F927/INDEX(Valeurs!$B$2:$B$40,MATCH(E927,Valeurs!$A$2:$A$40,0))*INDEX(Valeurs!$E$2:$E$40,MATCH(E927,Valeurs!$A$2:$A$40,0))</f>
        <v>5.625</v>
      </c>
      <c r="J927" s="64" t="n">
        <v>2</v>
      </c>
    </row>
    <row r="928" customFormat="false" ht="15" hidden="false" customHeight="false" outlineLevel="0" collapsed="false">
      <c r="A928" s="70" t="n">
        <v>46316</v>
      </c>
      <c r="B928" s="64" t="s">
        <v>36</v>
      </c>
      <c r="C928" s="64" t="s">
        <v>37</v>
      </c>
      <c r="D928" s="64" t="s">
        <v>6</v>
      </c>
      <c r="E928" s="64" t="s">
        <v>39</v>
      </c>
      <c r="F928" s="71" t="n">
        <f aca="false">Menu!D510</f>
        <v>10</v>
      </c>
      <c r="G928" s="64" t="s">
        <v>15</v>
      </c>
      <c r="H928" s="66" t="n">
        <f aca="false">F928/INDEX(Valeurs!$B$2:$B$40,MATCH(E928,Valeurs!$A$2:$A$40,0))*INDEX(Valeurs!$D$2:$D$40,MATCH(E928,Valeurs!$A$2:$A$40,0))</f>
        <v>58</v>
      </c>
      <c r="I928" s="72" t="n">
        <f aca="false">F928/INDEX(Valeurs!$B$2:$B$40,MATCH(E928,Valeurs!$A$2:$A$40,0))*INDEX(Valeurs!$E$2:$E$40,MATCH(E928,Valeurs!$A$2:$A$40,0))</f>
        <v>0.75</v>
      </c>
      <c r="J928" s="64" t="n">
        <v>2</v>
      </c>
    </row>
    <row r="929" customFormat="false" ht="15" hidden="false" customHeight="false" outlineLevel="0" collapsed="false">
      <c r="A929" s="70" t="n">
        <v>46316</v>
      </c>
      <c r="B929" s="64" t="s">
        <v>36</v>
      </c>
      <c r="C929" s="64" t="s">
        <v>37</v>
      </c>
      <c r="D929" s="64" t="s">
        <v>7</v>
      </c>
      <c r="E929" s="64" t="s">
        <v>39</v>
      </c>
      <c r="F929" s="71" t="n">
        <f aca="false">Menu!E510</f>
        <v>10</v>
      </c>
      <c r="G929" s="64" t="s">
        <v>15</v>
      </c>
      <c r="H929" s="66" t="n">
        <f aca="false">F929/INDEX(Valeurs!$B$2:$B$40,MATCH(E929,Valeurs!$A$2:$A$40,0))*INDEX(Valeurs!$D$2:$D$40,MATCH(E929,Valeurs!$A$2:$A$40,0))</f>
        <v>58</v>
      </c>
      <c r="I929" s="72" t="n">
        <f aca="false">F929/INDEX(Valeurs!$B$2:$B$40,MATCH(E929,Valeurs!$A$2:$A$40,0))*INDEX(Valeurs!$E$2:$E$40,MATCH(E929,Valeurs!$A$2:$A$40,0))</f>
        <v>0.75</v>
      </c>
      <c r="J929" s="64" t="n">
        <v>2</v>
      </c>
    </row>
  </sheetData>
  <autoFilter ref="A1:J9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8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4" t="s">
        <v>5</v>
      </c>
      <c r="B1" s="4" t="s">
        <v>268</v>
      </c>
      <c r="C1" s="4" t="s">
        <v>8</v>
      </c>
      <c r="D1" s="4" t="s">
        <v>269</v>
      </c>
      <c r="E1" s="4" t="s">
        <v>270</v>
      </c>
    </row>
    <row r="2" customFormat="false" ht="15" hidden="false" customHeight="false" outlineLevel="0" collapsed="false">
      <c r="A2" s="44" t="s">
        <v>25</v>
      </c>
      <c r="B2" s="47" t="n">
        <v>100</v>
      </c>
      <c r="C2" s="44" t="s">
        <v>15</v>
      </c>
      <c r="D2" s="47" t="n">
        <v>115</v>
      </c>
      <c r="E2" s="47" t="n">
        <v>23</v>
      </c>
    </row>
    <row r="3" customFormat="false" ht="15" hidden="false" customHeight="false" outlineLevel="0" collapsed="false">
      <c r="A3" s="44" t="s">
        <v>51</v>
      </c>
      <c r="B3" s="47" t="n">
        <v>100</v>
      </c>
      <c r="C3" s="44" t="s">
        <v>15</v>
      </c>
      <c r="D3" s="47" t="n">
        <v>140</v>
      </c>
      <c r="E3" s="47" t="n">
        <v>21</v>
      </c>
    </row>
    <row r="4" customFormat="false" ht="15" hidden="false" customHeight="false" outlineLevel="0" collapsed="false">
      <c r="A4" s="44" t="s">
        <v>80</v>
      </c>
      <c r="B4" s="47" t="n">
        <v>100</v>
      </c>
      <c r="C4" s="44" t="s">
        <v>15</v>
      </c>
      <c r="D4" s="47" t="n">
        <v>270</v>
      </c>
      <c r="E4" s="47" t="n">
        <v>15</v>
      </c>
    </row>
    <row r="5" customFormat="false" ht="15" hidden="false" customHeight="false" outlineLevel="0" collapsed="false">
      <c r="A5" s="44" t="s">
        <v>19</v>
      </c>
      <c r="B5" s="47" t="n">
        <v>100</v>
      </c>
      <c r="C5" s="44" t="s">
        <v>15</v>
      </c>
      <c r="D5" s="47" t="n">
        <v>110</v>
      </c>
      <c r="E5" s="47" t="n">
        <v>20</v>
      </c>
    </row>
    <row r="6" customFormat="false" ht="15" hidden="false" customHeight="false" outlineLevel="0" collapsed="false">
      <c r="A6" s="44" t="s">
        <v>31</v>
      </c>
      <c r="B6" s="47" t="n">
        <v>100</v>
      </c>
      <c r="C6" s="44" t="s">
        <v>15</v>
      </c>
      <c r="D6" s="47" t="n">
        <v>80</v>
      </c>
      <c r="E6" s="47" t="n">
        <v>17</v>
      </c>
    </row>
    <row r="7" customFormat="false" ht="15" hidden="false" customHeight="false" outlineLevel="0" collapsed="false">
      <c r="A7" s="44" t="s">
        <v>17</v>
      </c>
      <c r="B7" s="47" t="n">
        <v>1</v>
      </c>
      <c r="C7" s="44" t="s">
        <v>171</v>
      </c>
      <c r="D7" s="47" t="n">
        <v>87</v>
      </c>
      <c r="E7" s="47" t="n">
        <v>7.5</v>
      </c>
    </row>
    <row r="8" customFormat="false" ht="15" hidden="false" customHeight="false" outlineLevel="0" collapsed="false">
      <c r="A8" s="44" t="s">
        <v>12</v>
      </c>
      <c r="B8" s="47" t="n">
        <v>100</v>
      </c>
      <c r="C8" s="44" t="s">
        <v>13</v>
      </c>
      <c r="D8" s="47" t="n">
        <v>46</v>
      </c>
      <c r="E8" s="47" t="n">
        <v>3.3</v>
      </c>
    </row>
    <row r="9" customFormat="false" ht="15" hidden="false" customHeight="false" outlineLevel="0" collapsed="false">
      <c r="A9" s="44" t="s">
        <v>85</v>
      </c>
      <c r="B9" s="47" t="n">
        <v>100</v>
      </c>
      <c r="C9" s="44" t="s">
        <v>15</v>
      </c>
      <c r="D9" s="47" t="n">
        <v>280</v>
      </c>
      <c r="E9" s="47" t="n">
        <v>21</v>
      </c>
    </row>
    <row r="10" customFormat="false" ht="15" hidden="false" customHeight="false" outlineLevel="0" collapsed="false">
      <c r="A10" s="44" t="s">
        <v>55</v>
      </c>
      <c r="B10" s="47" t="n">
        <v>100</v>
      </c>
      <c r="C10" s="44" t="s">
        <v>15</v>
      </c>
      <c r="D10" s="47" t="n">
        <v>410</v>
      </c>
      <c r="E10" s="47" t="n">
        <v>25</v>
      </c>
    </row>
    <row r="11" customFormat="false" ht="15" hidden="false" customHeight="false" outlineLevel="0" collapsed="false">
      <c r="A11" s="44" t="s">
        <v>43</v>
      </c>
      <c r="B11" s="47" t="n">
        <v>100</v>
      </c>
      <c r="C11" s="44" t="s">
        <v>15</v>
      </c>
      <c r="D11" s="47" t="n">
        <v>355</v>
      </c>
      <c r="E11" s="47" t="n">
        <v>7</v>
      </c>
    </row>
    <row r="12" customFormat="false" ht="15" hidden="false" customHeight="false" outlineLevel="0" collapsed="false">
      <c r="A12" s="44" t="s">
        <v>66</v>
      </c>
      <c r="B12" s="47" t="n">
        <v>100</v>
      </c>
      <c r="C12" s="44" t="s">
        <v>15</v>
      </c>
      <c r="D12" s="47" t="n">
        <v>355</v>
      </c>
      <c r="E12" s="47" t="n">
        <v>12.5</v>
      </c>
    </row>
    <row r="13" customFormat="false" ht="15" hidden="false" customHeight="false" outlineLevel="0" collapsed="false">
      <c r="A13" s="44" t="s">
        <v>84</v>
      </c>
      <c r="B13" s="47" t="n">
        <v>100</v>
      </c>
      <c r="C13" s="44" t="s">
        <v>15</v>
      </c>
      <c r="D13" s="47" t="n">
        <v>355</v>
      </c>
      <c r="E13" s="47" t="n">
        <v>12.5</v>
      </c>
    </row>
    <row r="14" customFormat="false" ht="15" hidden="false" customHeight="false" outlineLevel="0" collapsed="false">
      <c r="A14" s="44" t="s">
        <v>16</v>
      </c>
      <c r="B14" s="47" t="n">
        <v>100</v>
      </c>
      <c r="C14" s="44" t="s">
        <v>15</v>
      </c>
      <c r="D14" s="47" t="n">
        <v>372</v>
      </c>
      <c r="E14" s="47" t="n">
        <v>13.5</v>
      </c>
    </row>
    <row r="15" customFormat="false" ht="15" hidden="false" customHeight="false" outlineLevel="0" collapsed="false">
      <c r="A15" s="44" t="s">
        <v>26</v>
      </c>
      <c r="B15" s="47" t="n">
        <v>100</v>
      </c>
      <c r="C15" s="44" t="s">
        <v>15</v>
      </c>
      <c r="D15" s="47" t="n">
        <v>80</v>
      </c>
      <c r="E15" s="47" t="n">
        <v>2</v>
      </c>
    </row>
    <row r="16" customFormat="false" ht="15" hidden="false" customHeight="false" outlineLevel="0" collapsed="false">
      <c r="A16" s="44" t="s">
        <v>32</v>
      </c>
      <c r="B16" s="47" t="n">
        <v>100</v>
      </c>
      <c r="C16" s="44" t="s">
        <v>15</v>
      </c>
      <c r="D16" s="47" t="n">
        <v>86</v>
      </c>
      <c r="E16" s="47" t="n">
        <v>1.6</v>
      </c>
    </row>
    <row r="17" customFormat="false" ht="15" hidden="false" customHeight="false" outlineLevel="0" collapsed="false">
      <c r="A17" s="44" t="s">
        <v>95</v>
      </c>
      <c r="B17" s="47" t="n">
        <v>1</v>
      </c>
      <c r="C17" s="44" t="s">
        <v>171</v>
      </c>
      <c r="D17" s="47" t="n">
        <v>186</v>
      </c>
      <c r="E17" s="47" t="n">
        <v>5</v>
      </c>
    </row>
    <row r="18" customFormat="false" ht="15" hidden="false" customHeight="false" outlineLevel="0" collapsed="false">
      <c r="A18" s="44" t="s">
        <v>54</v>
      </c>
      <c r="B18" s="47" t="n">
        <v>1</v>
      </c>
      <c r="C18" s="44" t="s">
        <v>171</v>
      </c>
      <c r="D18" s="47" t="n">
        <v>200</v>
      </c>
      <c r="E18" s="47" t="n">
        <v>7</v>
      </c>
    </row>
    <row r="19" customFormat="false" ht="15" hidden="false" customHeight="false" outlineLevel="0" collapsed="false">
      <c r="A19" s="44" t="s">
        <v>21</v>
      </c>
      <c r="B19" s="47" t="n">
        <v>100</v>
      </c>
      <c r="C19" s="44" t="s">
        <v>15</v>
      </c>
      <c r="D19" s="47" t="n">
        <v>240</v>
      </c>
      <c r="E19" s="47" t="n">
        <v>9</v>
      </c>
    </row>
    <row r="20" customFormat="false" ht="15" hidden="false" customHeight="false" outlineLevel="0" collapsed="false">
      <c r="A20" s="44" t="s">
        <v>33</v>
      </c>
      <c r="B20" s="47" t="n">
        <v>100</v>
      </c>
      <c r="C20" s="44" t="s">
        <v>15</v>
      </c>
      <c r="D20" s="47" t="n">
        <v>17</v>
      </c>
      <c r="E20" s="47" t="n">
        <v>1.2</v>
      </c>
    </row>
    <row r="21" customFormat="false" ht="15" hidden="false" customHeight="false" outlineLevel="0" collapsed="false">
      <c r="A21" s="44" t="s">
        <v>27</v>
      </c>
      <c r="B21" s="47" t="n">
        <v>100</v>
      </c>
      <c r="C21" s="44" t="s">
        <v>15</v>
      </c>
      <c r="D21" s="47" t="n">
        <v>31</v>
      </c>
      <c r="E21" s="47" t="n">
        <v>1.8</v>
      </c>
    </row>
    <row r="22" customFormat="false" ht="15" hidden="false" customHeight="false" outlineLevel="0" collapsed="false">
      <c r="A22" s="44" t="s">
        <v>20</v>
      </c>
      <c r="B22" s="47" t="n">
        <v>100</v>
      </c>
      <c r="C22" s="44" t="s">
        <v>15</v>
      </c>
      <c r="D22" s="47" t="n">
        <v>18</v>
      </c>
      <c r="E22" s="47" t="n">
        <v>0.9</v>
      </c>
    </row>
    <row r="23" customFormat="false" ht="15" hidden="false" customHeight="false" outlineLevel="0" collapsed="false">
      <c r="A23" s="44" t="s">
        <v>34</v>
      </c>
      <c r="B23" s="47" t="n">
        <v>100</v>
      </c>
      <c r="C23" s="44" t="s">
        <v>15</v>
      </c>
      <c r="D23" s="47" t="n">
        <v>27</v>
      </c>
      <c r="E23" s="47" t="n">
        <v>1</v>
      </c>
    </row>
    <row r="24" customFormat="false" ht="15" hidden="false" customHeight="false" outlineLevel="0" collapsed="false">
      <c r="A24" s="44" t="s">
        <v>44</v>
      </c>
      <c r="B24" s="47" t="n">
        <v>100</v>
      </c>
      <c r="C24" s="44" t="s">
        <v>15</v>
      </c>
      <c r="D24" s="47" t="n">
        <v>41</v>
      </c>
      <c r="E24" s="47" t="n">
        <v>0.9</v>
      </c>
    </row>
    <row r="25" customFormat="false" ht="15" hidden="false" customHeight="false" outlineLevel="0" collapsed="false">
      <c r="A25" s="44" t="s">
        <v>72</v>
      </c>
      <c r="B25" s="47" t="n">
        <v>100</v>
      </c>
      <c r="C25" s="44" t="s">
        <v>15</v>
      </c>
      <c r="D25" s="47" t="n">
        <v>25</v>
      </c>
      <c r="E25" s="47" t="n">
        <v>1</v>
      </c>
    </row>
    <row r="26" customFormat="false" ht="15" hidden="false" customHeight="false" outlineLevel="0" collapsed="false">
      <c r="A26" s="44" t="s">
        <v>67</v>
      </c>
      <c r="B26" s="47" t="n">
        <v>100</v>
      </c>
      <c r="C26" s="44" t="s">
        <v>15</v>
      </c>
      <c r="D26" s="47" t="n">
        <v>22</v>
      </c>
      <c r="E26" s="47" t="n">
        <v>3.1</v>
      </c>
    </row>
    <row r="27" customFormat="false" ht="15" hidden="false" customHeight="false" outlineLevel="0" collapsed="false">
      <c r="A27" s="44" t="s">
        <v>46</v>
      </c>
      <c r="B27" s="47" t="n">
        <v>100</v>
      </c>
      <c r="C27" s="44" t="s">
        <v>15</v>
      </c>
      <c r="D27" s="47" t="n">
        <v>15</v>
      </c>
      <c r="E27" s="47" t="n">
        <v>1.4</v>
      </c>
    </row>
    <row r="28" customFormat="false" ht="15" hidden="false" customHeight="false" outlineLevel="0" collapsed="false">
      <c r="A28" s="44" t="s">
        <v>35</v>
      </c>
      <c r="B28" s="47" t="n">
        <v>100</v>
      </c>
      <c r="C28" s="44" t="s">
        <v>15</v>
      </c>
      <c r="D28" s="47" t="n">
        <v>40</v>
      </c>
      <c r="E28" s="47" t="n">
        <v>1.1</v>
      </c>
    </row>
    <row r="29" customFormat="false" ht="15" hidden="false" customHeight="false" outlineLevel="0" collapsed="false">
      <c r="A29" s="44" t="s">
        <v>58</v>
      </c>
      <c r="B29" s="47" t="n">
        <v>100</v>
      </c>
      <c r="C29" s="44" t="s">
        <v>15</v>
      </c>
      <c r="D29" s="47" t="n">
        <v>80</v>
      </c>
      <c r="E29" s="47" t="n">
        <v>2.9</v>
      </c>
    </row>
    <row r="30" customFormat="false" ht="15" hidden="false" customHeight="false" outlineLevel="0" collapsed="false">
      <c r="A30" s="44" t="s">
        <v>57</v>
      </c>
      <c r="B30" s="47" t="n">
        <v>100</v>
      </c>
      <c r="C30" s="44" t="s">
        <v>15</v>
      </c>
      <c r="D30" s="47" t="n">
        <v>160</v>
      </c>
      <c r="E30" s="47" t="n">
        <v>2</v>
      </c>
    </row>
    <row r="31" customFormat="false" ht="15" hidden="false" customHeight="false" outlineLevel="0" collapsed="false">
      <c r="A31" s="44" t="s">
        <v>14</v>
      </c>
      <c r="B31" s="47" t="n">
        <v>100</v>
      </c>
      <c r="C31" s="44" t="s">
        <v>15</v>
      </c>
      <c r="D31" s="47" t="n">
        <v>90</v>
      </c>
      <c r="E31" s="47" t="n">
        <v>1.1</v>
      </c>
    </row>
    <row r="32" customFormat="false" ht="15" hidden="false" customHeight="false" outlineLevel="0" collapsed="false">
      <c r="A32" s="44" t="s">
        <v>73</v>
      </c>
      <c r="B32" s="47" t="n">
        <v>100</v>
      </c>
      <c r="C32" s="44" t="s">
        <v>15</v>
      </c>
      <c r="D32" s="47" t="n">
        <v>60</v>
      </c>
      <c r="E32" s="47" t="n">
        <v>0.8</v>
      </c>
    </row>
    <row r="33" customFormat="false" ht="15" hidden="false" customHeight="false" outlineLevel="0" collapsed="false">
      <c r="A33" s="44" t="s">
        <v>47</v>
      </c>
      <c r="B33" s="47" t="n">
        <v>100</v>
      </c>
      <c r="C33" s="44" t="s">
        <v>15</v>
      </c>
      <c r="D33" s="47" t="n">
        <v>50</v>
      </c>
      <c r="E33" s="47" t="n">
        <v>0.5</v>
      </c>
    </row>
    <row r="34" customFormat="false" ht="15" hidden="false" customHeight="false" outlineLevel="0" collapsed="false">
      <c r="A34" s="44" t="s">
        <v>22</v>
      </c>
      <c r="B34" s="47" t="n">
        <v>100</v>
      </c>
      <c r="C34" s="44" t="s">
        <v>15</v>
      </c>
      <c r="D34" s="47" t="n">
        <v>52</v>
      </c>
      <c r="E34" s="47" t="n">
        <v>0.3</v>
      </c>
    </row>
    <row r="35" customFormat="false" ht="15" hidden="false" customHeight="false" outlineLevel="0" collapsed="false">
      <c r="A35" s="44" t="s">
        <v>38</v>
      </c>
      <c r="B35" s="47" t="n">
        <v>100</v>
      </c>
      <c r="C35" s="44" t="s">
        <v>15</v>
      </c>
      <c r="D35" s="47" t="n">
        <v>60</v>
      </c>
      <c r="E35" s="47" t="n">
        <v>4.5</v>
      </c>
    </row>
    <row r="36" customFormat="false" ht="15" hidden="false" customHeight="false" outlineLevel="0" collapsed="false">
      <c r="A36" s="44" t="s">
        <v>59</v>
      </c>
      <c r="B36" s="47" t="n">
        <v>100</v>
      </c>
      <c r="C36" s="44" t="s">
        <v>15</v>
      </c>
      <c r="D36" s="47" t="n">
        <v>200</v>
      </c>
      <c r="E36" s="47" t="n">
        <v>3.5</v>
      </c>
    </row>
    <row r="37" customFormat="false" ht="15" hidden="false" customHeight="false" outlineLevel="0" collapsed="false">
      <c r="A37" s="44" t="s">
        <v>39</v>
      </c>
      <c r="B37" s="47" t="n">
        <v>100</v>
      </c>
      <c r="C37" s="44" t="s">
        <v>15</v>
      </c>
      <c r="D37" s="47" t="n">
        <v>580</v>
      </c>
      <c r="E37" s="47" t="n">
        <v>7.5</v>
      </c>
    </row>
    <row r="38" customFormat="false" ht="15" hidden="false" customHeight="false" outlineLevel="0" collapsed="false">
      <c r="A38" s="44" t="s">
        <v>42</v>
      </c>
      <c r="B38" s="47" t="n">
        <v>100</v>
      </c>
      <c r="C38" s="44" t="s">
        <v>15</v>
      </c>
      <c r="D38" s="47" t="n">
        <v>100</v>
      </c>
      <c r="E38" s="47" t="n">
        <v>7.5</v>
      </c>
    </row>
    <row r="39" customFormat="false" ht="15" hidden="false" customHeight="false" outlineLevel="0" collapsed="false">
      <c r="A39" s="44" t="s">
        <v>28</v>
      </c>
      <c r="B39" s="47" t="n">
        <v>100</v>
      </c>
      <c r="C39" s="44" t="s">
        <v>15</v>
      </c>
      <c r="D39" s="47" t="n">
        <v>900</v>
      </c>
      <c r="E39" s="47" t="n">
        <v>0</v>
      </c>
    </row>
    <row r="40" customFormat="false" ht="15" hidden="false" customHeight="false" outlineLevel="0" collapsed="false">
      <c r="A40" s="44" t="s">
        <v>81</v>
      </c>
      <c r="B40" s="47" t="n">
        <v>100</v>
      </c>
      <c r="C40" s="44" t="s">
        <v>15</v>
      </c>
      <c r="D40" s="47" t="n">
        <v>350</v>
      </c>
      <c r="E40" s="47" t="n">
        <v>10</v>
      </c>
    </row>
    <row r="42" customFormat="false" ht="15" hidden="false" customHeight="false" outlineLevel="0" collapsed="false">
      <c r="A42" s="3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2026-09-28T06:41:32Z</dcterms:created>
  <dc:creator>openpyxl</dc:creator>
  <dc:description/>
  <dc:language>en-US</dc:language>
  <cp:lastModifiedBy/>
  <dcterms:modified xsi:type="dcterms:W3CDTF">2026-09-28T06:41:33Z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